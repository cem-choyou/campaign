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Campagne" sheetId="2" state="visible" r:id="rId4"/>
    <sheet name="Contenus" sheetId="3" state="visible" r:id="rId5"/>
    <sheet name="Planning" sheetId="4" state="visible" r:id="rId6"/>
    <sheet name="Relais" sheetId="5" state="visible" r:id="rId7"/>
    <sheet name="Listes" sheetId="6" state="visible" r:id="rId8"/>
  </sheets>
  <definedNames>
    <definedName function="false" hidden="true" localSheetId="3" name="_xlnm._FilterDatabase" vbProcedure="false">Planning!$A$1:$P$59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Exemple : date non fournie dans le plan d'origine, à remplacer par le vrai lundi de la semaine 1.</t>
        </r>
      </text>
    </comment>
    <comment ref="B7" authorId="0">
      <text>
        <r>
          <rPr>
            <sz val="10"/>
            <rFont val="Arial"/>
            <family val="2"/>
          </rPr>
          <t xml:space="preserve">Ex. : ton, message clé, CTA (inscription, visionnage de la vidéo longue), hashtags.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2" authorId="0">
      <text>
        <r>
          <rPr>
            <sz val="10"/>
            <rFont val="Arial"/>
            <family val="2"/>
          </rPr>
          <t xml:space="preserve">Lien de la vidéo longue à compléter.</t>
        </r>
      </text>
    </comment>
    <comment ref="D14" authorId="0">
      <text>
        <r>
          <rPr>
            <sz val="10"/>
            <rFont val="Arial"/>
            <family val="2"/>
          </rPr>
          <t xml:space="preserve">Shorts : lien de la capsule source repris du plan d'origine ; remplacer par le lien du Short monté.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2" authorId="0">
      <text>
        <r>
          <rPr>
            <sz val="10"/>
            <rFont val="Arial"/>
            <family val="2"/>
          </rPr>
          <t xml:space="preserve">Heure non fournie dans le plan d'origine : 09:00 mis par défaut sur toutes les lignes.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" authorId="0">
      <text>
        <r>
          <rPr>
            <sz val="10"/>
            <rFont val="Arial"/>
            <family val="2"/>
          </rPr>
          <t xml:space="preserve">E-mail d'Anne Laure à compléter.</t>
        </r>
      </text>
    </comment>
  </commentList>
</comments>
</file>

<file path=xl/sharedStrings.xml><?xml version="1.0" encoding="utf-8"?>
<sst xmlns="http://schemas.openxmlformats.org/spreadsheetml/2006/main" count="257" uniqueCount="124">
  <si>
    <t xml:space="preserve">Modèle de campagne multi-canal — import dans la plateforme Campagnes</t>
  </si>
  <si>
    <t xml:space="preserve">Comment remplir</t>
  </si>
  <si>
    <t xml:space="preserve">1. Onglet Campagne : marque, nom, date du lundi de la semaine 1, objectif et brief (le brief sert de contexte à l'IA pour tous les posts).</t>
  </si>
  <si>
    <t xml:space="preserve">2. Onglet Contenus : une ligne par vidéo, capsule ou visuel, décrit UNE seule fois. L'ID (ex. CAP1) est réutilisé dans le planning.</t>
  </si>
  <si>
    <t xml:space="preserve">3. Onglet Planning : une ligne par publication. Choisir la semaine, le jour, le compte, le format et l'ID du contenu.</t>
  </si>
  <si>
    <t xml:space="preserve">4. Colonne « Texte du post » : laisser vide pour que l'IA le rédige ; la remplir pour imposer un texte.</t>
  </si>
  <si>
    <t xml:space="preserve">5. Onglet Relais : les collaborateurs qui postent ou relaient. Onglet Listes : les comptes de la marque (réseau, type, mode de publication).</t>
  </si>
  <si>
    <t xml:space="preserve">Code couleur</t>
  </si>
  <si>
    <t xml:space="preserve">Jaune, texte bleu = cellule à remplir</t>
  </si>
  <si>
    <t xml:space="preserve">Gris = calculé automatiquement, ne pas modifier</t>
  </si>
  <si>
    <t xml:space="preserve">Bleu clair = rempli par la plateforme après import (statut, lien publié)</t>
  </si>
  <si>
    <t xml:space="preserve">Modes de publication</t>
  </si>
  <si>
    <t xml:space="preserve">Auto = publié par la plateforme (via n8n) après validation — pages LinkedIn.</t>
  </si>
  <si>
    <t xml:space="preserve">Studio = programmé à la main dans YouTube Studio ; la plateforme fournit titre/description et suit la mise en ligne.</t>
  </si>
  <si>
    <t xml:space="preserve">Relais = profil personnel : la personne reçoit un e-mail à J-1 et le jour J, avec un lien vers son kit (texte, vidéo, démarche) et publie elle-même.</t>
  </si>
  <si>
    <t xml:space="preserve">Relais équipe</t>
  </si>
  <si>
    <t xml:space="preserve">Onglet Relais : prénom, nom et e-mail de chaque collaborateur. Pour qu'il POSTE, ajouter son nom dans Listes (type Profil personnel, mode Relais) et le choisir comme Compte dans le planning.</t>
  </si>
  <si>
    <t xml:space="preserve">Pour qu'il RELAIE un post de la page (commentaire, republication), écrire son nom dans la colonne « Relayé par » du planning, plusieurs noms séparés par des virgules.</t>
  </si>
  <si>
    <t xml:space="preserve">Exemple pré-rempli : plan « Vidéo LDDLT » (6 capsules, 6 Shorts). À compléter : date de début, heures, lien de la vidéo longue, résumés des capsules.</t>
  </si>
  <si>
    <t xml:space="preserve">Champ</t>
  </si>
  <si>
    <t xml:space="preserve">Valeur</t>
  </si>
  <si>
    <t xml:space="preserve">Marque</t>
  </si>
  <si>
    <t xml:space="preserve">IT for Business</t>
  </si>
  <si>
    <t xml:space="preserve">Nom de la campagne</t>
  </si>
  <si>
    <t xml:space="preserve">Promotion vidéo LDDLT</t>
  </si>
  <si>
    <t xml:space="preserve">Date de début (lundi S1)</t>
  </si>
  <si>
    <t xml:space="preserve">Objectif</t>
  </si>
  <si>
    <t xml:space="preserve">Cible</t>
  </si>
  <si>
    <t xml:space="preserve">Brief pour l'IA</t>
  </si>
  <si>
    <t xml:space="preserve">ID de la vidéo principale</t>
  </si>
  <si>
    <t xml:space="preserve">VID-LONG</t>
  </si>
  <si>
    <t xml:space="preserve">ID</t>
  </si>
  <si>
    <t xml:space="preserve">Type</t>
  </si>
  <si>
    <t xml:space="preserve">Titre</t>
  </si>
  <si>
    <t xml:space="preserve">Lien média (Frame.io, Drive…)</t>
  </si>
  <si>
    <t xml:space="preserve">Durée</t>
  </si>
  <si>
    <t xml:space="preserve">Résumé / message clé (pour l'IA)</t>
  </si>
  <si>
    <t xml:space="preserve">Lien YouTube (une fois en ligne)</t>
  </si>
  <si>
    <t xml:space="preserve">Vidéo longue</t>
  </si>
  <si>
    <t xml:space="preserve">Vidéo longue LDDLT</t>
  </si>
  <si>
    <t xml:space="preserve">CAP1</t>
  </si>
  <si>
    <t xml:space="preserve">Capsule</t>
  </si>
  <si>
    <t xml:space="preserve">Capsule 1</t>
  </si>
  <si>
    <t xml:space="preserve">https://next.frame.io/share/0ab5a1c0-22f4-402e-a05a-05ef61c0e567/view/9e42da5c-f9b9-451f-8959-6012c18de372</t>
  </si>
  <si>
    <t xml:space="preserve">CAP2</t>
  </si>
  <si>
    <t xml:space="preserve">Capsule 2</t>
  </si>
  <si>
    <t xml:space="preserve">https://next.frame.io/share/0ab5a1c0-22f4-402e-a05a-05ef61c0e567/view/4bca616d-c6b8-46b5-9936-5996b6e7781d</t>
  </si>
  <si>
    <t xml:space="preserve">CAP3</t>
  </si>
  <si>
    <t xml:space="preserve">Capsule 3</t>
  </si>
  <si>
    <t xml:space="preserve">https://next.frame.io/share/0ab5a1c0-22f4-402e-a05a-05ef61c0e567/view/6da21d6f-a4c3-4378-bb8f-f6ce430b5c6d</t>
  </si>
  <si>
    <t xml:space="preserve">CAP4</t>
  </si>
  <si>
    <t xml:space="preserve">Capsule 4</t>
  </si>
  <si>
    <t xml:space="preserve">https://next.frame.io/share/0ab5a1c0-22f4-402e-a05a-05ef61c0e567/view/7422aabf-ec75-4b45-840e-d7f03796fd52</t>
  </si>
  <si>
    <t xml:space="preserve">CAP5</t>
  </si>
  <si>
    <t xml:space="preserve">Capsule 5</t>
  </si>
  <si>
    <t xml:space="preserve">https://next.frame.io/share/0ab5a1c0-22f4-402e-a05a-05ef61c0e567/view/5b065daa-49f0-4b8f-a3da-08dc115f8e01</t>
  </si>
  <si>
    <t xml:space="preserve">CAP6</t>
  </si>
  <si>
    <t xml:space="preserve">Capsule 6</t>
  </si>
  <si>
    <t xml:space="preserve">https://next.frame.io/share/0ab5a1c0-22f4-402e-a05a-05ef61c0e567/view/8e2dee3b-2506-4ce8-872d-b69107ebc363</t>
  </si>
  <si>
    <t xml:space="preserve">SHORT1</t>
  </si>
  <si>
    <t xml:space="preserve">Short</t>
  </si>
  <si>
    <t xml:space="preserve">Short 1</t>
  </si>
  <si>
    <t xml:space="preserve">SHORT2</t>
  </si>
  <si>
    <t xml:space="preserve">Short 2</t>
  </si>
  <si>
    <t xml:space="preserve">SHORT3</t>
  </si>
  <si>
    <t xml:space="preserve">Short 3</t>
  </si>
  <si>
    <t xml:space="preserve">SHORT4</t>
  </si>
  <si>
    <t xml:space="preserve">Short 4</t>
  </si>
  <si>
    <t xml:space="preserve">SHORT5</t>
  </si>
  <si>
    <t xml:space="preserve">Short 5</t>
  </si>
  <si>
    <t xml:space="preserve">SHORT6</t>
  </si>
  <si>
    <t xml:space="preserve">Short 6</t>
  </si>
  <si>
    <t xml:space="preserve">Semaine</t>
  </si>
  <si>
    <t xml:space="preserve">Jour</t>
  </si>
  <si>
    <t xml:space="preserve">Date</t>
  </si>
  <si>
    <t xml:space="preserve">Heure</t>
  </si>
  <si>
    <t xml:space="preserve">Compte</t>
  </si>
  <si>
    <t xml:space="preserve">Réseau</t>
  </si>
  <si>
    <t xml:space="preserve">Mode</t>
  </si>
  <si>
    <t xml:space="preserve">Format</t>
  </si>
  <si>
    <t xml:space="preserve">ID contenu</t>
  </si>
  <si>
    <t xml:space="preserve">Titre du contenu</t>
  </si>
  <si>
    <t xml:space="preserve">Lien vers (ID ou URL)</t>
  </si>
  <si>
    <t xml:space="preserve">Sujet / angle</t>
  </si>
  <si>
    <t xml:space="preserve">Texte du post (vide = IA)</t>
  </si>
  <si>
    <t xml:space="preserve">Relayé par (noms, virgules)</t>
  </si>
  <si>
    <t xml:space="preserve">Statut</t>
  </si>
  <si>
    <t xml:space="preserve">Lien publié</t>
  </si>
  <si>
    <t xml:space="preserve">Lundi</t>
  </si>
  <si>
    <t xml:space="preserve">ITforBusiness</t>
  </si>
  <si>
    <t xml:space="preserve">Post vidéo</t>
  </si>
  <si>
    <t xml:space="preserve">À faire</t>
  </si>
  <si>
    <t xml:space="preserve">Mercredi</t>
  </si>
  <si>
    <t xml:space="preserve">Anne Laure</t>
  </si>
  <si>
    <t xml:space="preserve">Publié</t>
  </si>
  <si>
    <t xml:space="preserve">https://lnkd.in/p/e3Aw4K5d</t>
  </si>
  <si>
    <t xml:space="preserve">Jeudi</t>
  </si>
  <si>
    <t xml:space="preserve">IT for Business YouTube</t>
  </si>
  <si>
    <t xml:space="preserve">Extrait qui donne envie de voir la vidéo longue</t>
  </si>
  <si>
    <t xml:space="preserve">Prénom</t>
  </si>
  <si>
    <t xml:space="preserve">Nom</t>
  </si>
  <si>
    <t xml:space="preserve">E-mail</t>
  </si>
  <si>
    <t xml:space="preserve">Poste</t>
  </si>
  <si>
    <t xml:space="preserve">URL profil LinkedIn</t>
  </si>
  <si>
    <t xml:space="preserve">Ton / style (pour l'IA)</t>
  </si>
  <si>
    <t xml:space="preserve">Nom dans le planning</t>
  </si>
  <si>
    <t xml:space="preserve">Décalage (jours)</t>
  </si>
  <si>
    <t xml:space="preserve">Mode de publication</t>
  </si>
  <si>
    <t xml:space="preserve">Type de contenu</t>
  </si>
  <si>
    <t xml:space="preserve">LinkedIn</t>
  </si>
  <si>
    <t xml:space="preserve">Page entreprise</t>
  </si>
  <si>
    <t xml:space="preserve">Auto</t>
  </si>
  <si>
    <t xml:space="preserve">Mardi</t>
  </si>
  <si>
    <t xml:space="preserve">Profil personnel</t>
  </si>
  <si>
    <t xml:space="preserve">Relais</t>
  </si>
  <si>
    <t xml:space="preserve">YouTube</t>
  </si>
  <si>
    <t xml:space="preserve">Chaîne</t>
  </si>
  <si>
    <t xml:space="preserve">Studio</t>
  </si>
  <si>
    <t xml:space="preserve">Image</t>
  </si>
  <si>
    <t xml:space="preserve">Vendredi</t>
  </si>
  <si>
    <t xml:space="preserve">Document PDF</t>
  </si>
  <si>
    <t xml:space="preserve">Samedi</t>
  </si>
  <si>
    <t xml:space="preserve">Texte seul</t>
  </si>
  <si>
    <t xml:space="preserve">Dimanche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</si>
</sst>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ddd\ dd/mm/yy"/>
    <numFmt numFmtId="167" formatCode="hh:mm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4CC"/>
        <bgColor rgb="FFEDEDED"/>
      </patternFill>
    </fill>
    <fill>
      <patternFill patternType="solid">
        <fgColor rgb="FFEDEDED"/>
        <bgColor rgb="FFDDEBF7"/>
      </patternFill>
    </fill>
    <fill>
      <patternFill patternType="solid">
        <fgColor rgb="FFDDEBF7"/>
        <bgColor rgb="FFEDEDED"/>
      </patternFill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4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/>
    </row>
    <row r="3" customFormat="false" ht="15" hidden="false" customHeight="false" outlineLevel="0" collapsed="false">
      <c r="B3" s="3" t="s">
        <v>1</v>
      </c>
    </row>
    <row r="4" customFormat="false" ht="23.85" hidden="false" customHeight="false" outlineLevel="0" collapsed="false">
      <c r="B4" s="2" t="s">
        <v>2</v>
      </c>
    </row>
    <row r="5" customFormat="false" ht="23.85" hidden="false" customHeight="false" outlineLevel="0" collapsed="false">
      <c r="B5" s="2" t="s">
        <v>3</v>
      </c>
    </row>
    <row r="6" customFormat="false" ht="1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23.85" hidden="false" customHeight="false" outlineLevel="0" collapsed="false">
      <c r="B8" s="2" t="s">
        <v>6</v>
      </c>
    </row>
    <row r="9" customFormat="false" ht="15" hidden="false" customHeight="false" outlineLevel="0" collapsed="false">
      <c r="B9" s="2"/>
    </row>
    <row r="10" customFormat="false" ht="15" hidden="false" customHeight="false" outlineLevel="0" collapsed="false">
      <c r="B10" s="3" t="s">
        <v>7</v>
      </c>
    </row>
    <row r="11" customFormat="false" ht="15" hidden="false" customHeight="false" outlineLevel="0" collapsed="false">
      <c r="B11" s="4" t="s">
        <v>8</v>
      </c>
    </row>
    <row r="12" customFormat="false" ht="15" hidden="false" customHeight="false" outlineLevel="0" collapsed="false">
      <c r="B12" s="5" t="s">
        <v>9</v>
      </c>
    </row>
    <row r="13" customFormat="false" ht="15" hidden="false" customHeight="false" outlineLevel="0" collapsed="false">
      <c r="B13" s="6" t="s">
        <v>10</v>
      </c>
    </row>
    <row r="14" customFormat="false" ht="15" hidden="false" customHeight="false" outlineLevel="0" collapsed="false">
      <c r="B14" s="2"/>
    </row>
    <row r="15" customFormat="false" ht="15" hidden="false" customHeight="false" outlineLevel="0" collapsed="false">
      <c r="B15" s="3" t="s">
        <v>11</v>
      </c>
    </row>
    <row r="16" customFormat="false" ht="1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 t="s">
        <v>13</v>
      </c>
    </row>
    <row r="18" customFormat="false" ht="23.85" hidden="false" customHeight="false" outlineLevel="0" collapsed="false">
      <c r="B18" s="2" t="s">
        <v>14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3" t="s">
        <v>15</v>
      </c>
    </row>
    <row r="21" customFormat="false" ht="23.85" hidden="false" customHeight="false" outlineLevel="0" collapsed="false">
      <c r="B21" s="2" t="s">
        <v>16</v>
      </c>
    </row>
    <row r="22" customFormat="false" ht="23.85" hidden="false" customHeight="false" outlineLevel="0" collapsed="false">
      <c r="B22" s="2" t="s">
        <v>17</v>
      </c>
    </row>
    <row r="23" customFormat="false" ht="15" hidden="false" customHeight="false" outlineLevel="0" collapsed="false">
      <c r="B23" s="2"/>
    </row>
    <row r="24" customFormat="false" ht="23.85" hidden="false" customHeight="false" outlineLevel="0" collapsed="false">
      <c r="B24" s="7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8" t="s">
        <v>19</v>
      </c>
      <c r="B1" s="8" t="s">
        <v>20</v>
      </c>
    </row>
    <row r="2" customFormat="false" ht="15" hidden="false" customHeight="false" outlineLevel="0" collapsed="false">
      <c r="A2" s="9" t="s">
        <v>21</v>
      </c>
      <c r="B2" s="4" t="s">
        <v>22</v>
      </c>
    </row>
    <row r="3" customFormat="false" ht="15" hidden="false" customHeight="false" outlineLevel="0" collapsed="false">
      <c r="A3" s="9" t="s">
        <v>23</v>
      </c>
      <c r="B3" s="4" t="s">
        <v>24</v>
      </c>
    </row>
    <row r="4" customFormat="false" ht="15" hidden="false" customHeight="false" outlineLevel="0" collapsed="false">
      <c r="A4" s="9" t="s">
        <v>25</v>
      </c>
      <c r="B4" s="10" t="n">
        <v>46300</v>
      </c>
    </row>
    <row r="5" customFormat="false" ht="15" hidden="false" customHeight="false" outlineLevel="0" collapsed="false">
      <c r="A5" s="9" t="s">
        <v>26</v>
      </c>
      <c r="B5" s="4"/>
    </row>
    <row r="6" customFormat="false" ht="15" hidden="false" customHeight="false" outlineLevel="0" collapsed="false">
      <c r="A6" s="9" t="s">
        <v>27</v>
      </c>
      <c r="B6" s="4"/>
    </row>
    <row r="7" customFormat="false" ht="60" hidden="false" customHeight="true" outlineLevel="0" collapsed="false">
      <c r="A7" s="9" t="s">
        <v>28</v>
      </c>
      <c r="B7" s="4"/>
    </row>
    <row r="8" customFormat="false" ht="15" hidden="false" customHeight="false" outlineLevel="0" collapsed="false">
      <c r="A8" s="9" t="s">
        <v>29</v>
      </c>
      <c r="B8" s="4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48"/>
    <col collapsed="false" customWidth="true" hidden="false" outlineLevel="0" max="5" min="5" style="0" width="9"/>
    <col collapsed="false" customWidth="true" hidden="false" outlineLevel="0" max="6" min="6" style="0" width="50"/>
    <col collapsed="false" customWidth="true" hidden="false" outlineLevel="0" max="7" min="7" style="0" width="34"/>
  </cols>
  <sheetData>
    <row r="1" customFormat="false" ht="30" hidden="false" customHeight="true" outlineLevel="0" collapsed="false">
      <c r="A1" s="11" t="s">
        <v>31</v>
      </c>
      <c r="B1" s="11" t="s">
        <v>32</v>
      </c>
      <c r="C1" s="11" t="s">
        <v>33</v>
      </c>
      <c r="D1" s="11" t="s">
        <v>34</v>
      </c>
      <c r="E1" s="11" t="s">
        <v>35</v>
      </c>
      <c r="F1" s="11" t="s">
        <v>36</v>
      </c>
      <c r="G1" s="11" t="s">
        <v>37</v>
      </c>
    </row>
    <row r="2" customFormat="false" ht="15" hidden="false" customHeight="false" outlineLevel="0" collapsed="false">
      <c r="A2" s="4" t="s">
        <v>30</v>
      </c>
      <c r="B2" s="4" t="s">
        <v>38</v>
      </c>
      <c r="C2" s="4" t="s">
        <v>39</v>
      </c>
      <c r="D2" s="4"/>
      <c r="E2" s="4"/>
      <c r="F2" s="4"/>
      <c r="G2" s="6"/>
    </row>
    <row r="3" customFormat="false" ht="35.05" hidden="false" customHeight="false" outlineLevel="0" collapsed="false">
      <c r="A3" s="4" t="s">
        <v>40</v>
      </c>
      <c r="B3" s="4" t="s">
        <v>41</v>
      </c>
      <c r="C3" s="4" t="s">
        <v>42</v>
      </c>
      <c r="D3" s="4" t="s">
        <v>43</v>
      </c>
      <c r="E3" s="4"/>
      <c r="F3" s="4"/>
      <c r="G3" s="6"/>
    </row>
    <row r="4" customFormat="false" ht="35.05" hidden="false" customHeight="false" outlineLevel="0" collapsed="false">
      <c r="A4" s="4" t="s">
        <v>44</v>
      </c>
      <c r="B4" s="4" t="s">
        <v>41</v>
      </c>
      <c r="C4" s="4" t="s">
        <v>45</v>
      </c>
      <c r="D4" s="4" t="s">
        <v>46</v>
      </c>
      <c r="E4" s="4"/>
      <c r="F4" s="4"/>
      <c r="G4" s="6"/>
    </row>
    <row r="5" customFormat="false" ht="35.05" hidden="false" customHeight="false" outlineLevel="0" collapsed="false">
      <c r="A5" s="4" t="s">
        <v>47</v>
      </c>
      <c r="B5" s="4" t="s">
        <v>41</v>
      </c>
      <c r="C5" s="4" t="s">
        <v>48</v>
      </c>
      <c r="D5" s="4" t="s">
        <v>49</v>
      </c>
      <c r="E5" s="4"/>
      <c r="F5" s="4"/>
      <c r="G5" s="6"/>
    </row>
    <row r="6" customFormat="false" ht="35.05" hidden="false" customHeight="false" outlineLevel="0" collapsed="false">
      <c r="A6" s="4" t="s">
        <v>50</v>
      </c>
      <c r="B6" s="4" t="s">
        <v>41</v>
      </c>
      <c r="C6" s="4" t="s">
        <v>51</v>
      </c>
      <c r="D6" s="4" t="s">
        <v>52</v>
      </c>
      <c r="E6" s="4"/>
      <c r="F6" s="4"/>
      <c r="G6" s="6"/>
    </row>
    <row r="7" customFormat="false" ht="35.05" hidden="false" customHeight="false" outlineLevel="0" collapsed="false">
      <c r="A7" s="4" t="s">
        <v>53</v>
      </c>
      <c r="B7" s="4" t="s">
        <v>41</v>
      </c>
      <c r="C7" s="4" t="s">
        <v>54</v>
      </c>
      <c r="D7" s="4" t="s">
        <v>55</v>
      </c>
      <c r="E7" s="4"/>
      <c r="F7" s="4"/>
      <c r="G7" s="6"/>
    </row>
    <row r="8" customFormat="false" ht="35.05" hidden="false" customHeight="false" outlineLevel="0" collapsed="false">
      <c r="A8" s="4" t="s">
        <v>56</v>
      </c>
      <c r="B8" s="4" t="s">
        <v>41</v>
      </c>
      <c r="C8" s="4" t="s">
        <v>57</v>
      </c>
      <c r="D8" s="4" t="s">
        <v>58</v>
      </c>
      <c r="E8" s="4"/>
      <c r="F8" s="4"/>
      <c r="G8" s="6"/>
    </row>
    <row r="9" customFormat="false" ht="35.05" hidden="false" customHeight="false" outlineLevel="0" collapsed="false">
      <c r="A9" s="4" t="s">
        <v>59</v>
      </c>
      <c r="B9" s="4" t="s">
        <v>60</v>
      </c>
      <c r="C9" s="4" t="s">
        <v>61</v>
      </c>
      <c r="D9" s="4" t="s">
        <v>43</v>
      </c>
      <c r="E9" s="4"/>
      <c r="F9" s="4"/>
      <c r="G9" s="6"/>
    </row>
    <row r="10" customFormat="false" ht="35.05" hidden="false" customHeight="false" outlineLevel="0" collapsed="false">
      <c r="A10" s="4" t="s">
        <v>62</v>
      </c>
      <c r="B10" s="4" t="s">
        <v>60</v>
      </c>
      <c r="C10" s="4" t="s">
        <v>63</v>
      </c>
      <c r="D10" s="4" t="s">
        <v>46</v>
      </c>
      <c r="E10" s="4"/>
      <c r="F10" s="4"/>
      <c r="G10" s="6"/>
    </row>
    <row r="11" customFormat="false" ht="35.05" hidden="false" customHeight="false" outlineLevel="0" collapsed="false">
      <c r="A11" s="4" t="s">
        <v>64</v>
      </c>
      <c r="B11" s="4" t="s">
        <v>60</v>
      </c>
      <c r="C11" s="4" t="s">
        <v>65</v>
      </c>
      <c r="D11" s="4" t="s">
        <v>49</v>
      </c>
      <c r="E11" s="4"/>
      <c r="F11" s="4"/>
      <c r="G11" s="6"/>
    </row>
    <row r="12" customFormat="false" ht="35.05" hidden="false" customHeight="false" outlineLevel="0" collapsed="false">
      <c r="A12" s="4" t="s">
        <v>66</v>
      </c>
      <c r="B12" s="4" t="s">
        <v>60</v>
      </c>
      <c r="C12" s="4" t="s">
        <v>67</v>
      </c>
      <c r="D12" s="4" t="s">
        <v>52</v>
      </c>
      <c r="E12" s="4"/>
      <c r="F12" s="4"/>
      <c r="G12" s="6"/>
    </row>
    <row r="13" customFormat="false" ht="35.05" hidden="false" customHeight="false" outlineLevel="0" collapsed="false">
      <c r="A13" s="4" t="s">
        <v>68</v>
      </c>
      <c r="B13" s="4" t="s">
        <v>60</v>
      </c>
      <c r="C13" s="4" t="s">
        <v>69</v>
      </c>
      <c r="D13" s="4" t="s">
        <v>55</v>
      </c>
      <c r="E13" s="4"/>
      <c r="F13" s="4"/>
      <c r="G13" s="6"/>
    </row>
    <row r="14" customFormat="false" ht="35.05" hidden="false" customHeight="false" outlineLevel="0" collapsed="false">
      <c r="A14" s="4" t="s">
        <v>70</v>
      </c>
      <c r="B14" s="4" t="s">
        <v>60</v>
      </c>
      <c r="C14" s="4" t="s">
        <v>71</v>
      </c>
      <c r="D14" s="4" t="s">
        <v>58</v>
      </c>
      <c r="E14" s="4"/>
      <c r="F14" s="4"/>
      <c r="G14" s="6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6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6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6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6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6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6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6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6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6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6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6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6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6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6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6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6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6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6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6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6"/>
    </row>
  </sheetData>
  <dataValidations count="1">
    <dataValidation allowBlank="true" errorStyle="stop" operator="between" showDropDown="false" showErrorMessage="false" showInputMessage="false" sqref="B2:B34" type="list">
      <formula1>Listes!$K$2:$K$6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22"/>
    <col collapsed="false" customWidth="true" hidden="false" outlineLevel="0" max="11" min="11" style="0" width="16"/>
    <col collapsed="false" customWidth="true" hidden="false" outlineLevel="0" max="12" min="12" style="0" width="34"/>
    <col collapsed="false" customWidth="true" hidden="false" outlineLevel="0" max="13" min="13" style="0" width="40"/>
    <col collapsed="false" customWidth="true" hidden="false" outlineLevel="0" max="14" min="14" style="0" width="26"/>
    <col collapsed="false" customWidth="true" hidden="false" outlineLevel="0" max="15" min="15" style="0" width="12"/>
    <col collapsed="false" customWidth="true" hidden="false" outlineLevel="0" max="16" min="16" style="0" width="30"/>
  </cols>
  <sheetData>
    <row r="1" customFormat="false" ht="30" hidden="false" customHeight="true" outlineLevel="0" collapsed="false">
      <c r="A1" s="11" t="s">
        <v>72</v>
      </c>
      <c r="B1" s="11" t="s">
        <v>73</v>
      </c>
      <c r="C1" s="11" t="s">
        <v>74</v>
      </c>
      <c r="D1" s="11" t="s">
        <v>75</v>
      </c>
      <c r="E1" s="11" t="s">
        <v>76</v>
      </c>
      <c r="F1" s="11" t="s">
        <v>77</v>
      </c>
      <c r="G1" s="11" t="s">
        <v>78</v>
      </c>
      <c r="H1" s="11" t="s">
        <v>79</v>
      </c>
      <c r="I1" s="11" t="s">
        <v>80</v>
      </c>
      <c r="J1" s="11" t="s">
        <v>81</v>
      </c>
      <c r="K1" s="11" t="s">
        <v>82</v>
      </c>
      <c r="L1" s="11" t="s">
        <v>83</v>
      </c>
      <c r="M1" s="11" t="s">
        <v>84</v>
      </c>
      <c r="N1" s="11" t="s">
        <v>85</v>
      </c>
      <c r="O1" s="11" t="s">
        <v>86</v>
      </c>
      <c r="P1" s="11" t="s">
        <v>87</v>
      </c>
    </row>
    <row r="2" customFormat="false" ht="15" hidden="false" customHeight="false" outlineLevel="0" collapsed="false">
      <c r="A2" s="4" t="n">
        <v>1</v>
      </c>
      <c r="B2" s="4" t="s">
        <v>88</v>
      </c>
      <c r="C2" s="12" t="n">
        <f aca="false">IF(OR(A2="",B2=""),"",Campagne!$B$4+(A2-1)*7+INDEX(Listes!$B$2:$B$8,MATCH(B2,Listes!$A$2:$A$8,0)))</f>
        <v>46300</v>
      </c>
      <c r="D2" s="13" t="n">
        <v>0.375</v>
      </c>
      <c r="E2" s="4" t="s">
        <v>89</v>
      </c>
      <c r="F2" s="5" t="str">
        <f aca="false">IF(E2="","",IFERROR(INDEX(Listes!$E$2:$E$11,MATCH(E2,Listes!$D$2:$D$11,0)),"?"))</f>
        <v>LinkedIn</v>
      </c>
      <c r="G2" s="5" t="str">
        <f aca="false">IF(E2="","",IFERROR(INDEX(Listes!$G$2:$G$11,MATCH(E2,Listes!$D$2:$D$11,0)),"?"))</f>
        <v>Auto</v>
      </c>
      <c r="H2" s="4" t="s">
        <v>90</v>
      </c>
      <c r="I2" s="4" t="s">
        <v>40</v>
      </c>
      <c r="J2" s="5" t="str">
        <f aca="false">IF(I2="","",IFERROR(INDEX(Contenus!$C:$C,MATCH(I2,Contenus!$A:$A,0)),"ID inconnu"))</f>
        <v>Capsule 1</v>
      </c>
      <c r="K2" s="4"/>
      <c r="L2" s="4"/>
      <c r="M2" s="4"/>
      <c r="N2" s="4"/>
      <c r="O2" s="6" t="s">
        <v>91</v>
      </c>
      <c r="P2" s="6"/>
    </row>
    <row r="3" customFormat="false" ht="15" hidden="false" customHeight="false" outlineLevel="0" collapsed="false">
      <c r="A3" s="4" t="n">
        <v>1</v>
      </c>
      <c r="B3" s="4" t="s">
        <v>92</v>
      </c>
      <c r="C3" s="12" t="n">
        <f aca="false">IF(OR(A3="",B3=""),"",Campagne!$B$4+(A3-1)*7+INDEX(Listes!$B$2:$B$8,MATCH(B3,Listes!$A$2:$A$8,0)))</f>
        <v>46302</v>
      </c>
      <c r="D3" s="13" t="n">
        <v>0.375</v>
      </c>
      <c r="E3" s="4" t="s">
        <v>93</v>
      </c>
      <c r="F3" s="5" t="str">
        <f aca="false">IF(E3="","",IFERROR(INDEX(Listes!$E$2:$E$11,MATCH(E3,Listes!$D$2:$D$11,0)),"?"))</f>
        <v>LinkedIn</v>
      </c>
      <c r="G3" s="5" t="str">
        <f aca="false">IF(E3="","",IFERROR(INDEX(Listes!$G$2:$G$11,MATCH(E3,Listes!$D$2:$D$11,0)),"?"))</f>
        <v>Relais</v>
      </c>
      <c r="H3" s="4" t="s">
        <v>90</v>
      </c>
      <c r="I3" s="4" t="s">
        <v>56</v>
      </c>
      <c r="J3" s="5" t="str">
        <f aca="false">IF(I3="","",IFERROR(INDEX(Contenus!$C:$C,MATCH(I3,Contenus!$A:$A,0)),"ID inconnu"))</f>
        <v>Capsule 6</v>
      </c>
      <c r="K3" s="4"/>
      <c r="L3" s="4"/>
      <c r="M3" s="4"/>
      <c r="N3" s="4"/>
      <c r="O3" s="6" t="s">
        <v>94</v>
      </c>
      <c r="P3" s="6" t="s">
        <v>95</v>
      </c>
    </row>
    <row r="4" customFormat="false" ht="23.85" hidden="false" customHeight="false" outlineLevel="0" collapsed="false">
      <c r="A4" s="4" t="n">
        <v>1</v>
      </c>
      <c r="B4" s="4" t="s">
        <v>96</v>
      </c>
      <c r="C4" s="12" t="n">
        <f aca="false">IF(OR(A4="",B4=""),"",Campagne!$B$4+(A4-1)*7+INDEX(Listes!$B$2:$B$8,MATCH(B4,Listes!$A$2:$A$8,0)))</f>
        <v>46303</v>
      </c>
      <c r="D4" s="13" t="n">
        <v>0.375</v>
      </c>
      <c r="E4" s="4" t="s">
        <v>97</v>
      </c>
      <c r="F4" s="5" t="str">
        <f aca="false">IF(E4="","",IFERROR(INDEX(Listes!$E$2:$E$11,MATCH(E4,Listes!$D$2:$D$11,0)),"?"))</f>
        <v>YouTube</v>
      </c>
      <c r="G4" s="5" t="str">
        <f aca="false">IF(E4="","",IFERROR(INDEX(Listes!$G$2:$G$11,MATCH(E4,Listes!$D$2:$D$11,0)),"?"))</f>
        <v>Studio</v>
      </c>
      <c r="H4" s="4" t="s">
        <v>60</v>
      </c>
      <c r="I4" s="4" t="s">
        <v>59</v>
      </c>
      <c r="J4" s="5" t="str">
        <f aca="false">IF(I4="","",IFERROR(INDEX(Contenus!$C:$C,MATCH(I4,Contenus!$A:$A,0)),"ID inconnu"))</f>
        <v>Short 1</v>
      </c>
      <c r="K4" s="4" t="s">
        <v>30</v>
      </c>
      <c r="L4" s="4" t="s">
        <v>98</v>
      </c>
      <c r="M4" s="4"/>
      <c r="N4" s="4"/>
      <c r="O4" s="6" t="s">
        <v>91</v>
      </c>
      <c r="P4" s="6"/>
    </row>
    <row r="5" customFormat="false" ht="15" hidden="false" customHeight="false" outlineLevel="0" collapsed="false">
      <c r="A5" s="4" t="n">
        <v>2</v>
      </c>
      <c r="B5" s="4" t="s">
        <v>88</v>
      </c>
      <c r="C5" s="12" t="n">
        <f aca="false">IF(OR(A5="",B5=""),"",Campagne!$B$4+(A5-1)*7+INDEX(Listes!$B$2:$B$8,MATCH(B5,Listes!$A$2:$A$8,0)))</f>
        <v>46307</v>
      </c>
      <c r="D5" s="13" t="n">
        <v>0.375</v>
      </c>
      <c r="E5" s="4" t="s">
        <v>89</v>
      </c>
      <c r="F5" s="5" t="str">
        <f aca="false">IF(E5="","",IFERROR(INDEX(Listes!$E$2:$E$11,MATCH(E5,Listes!$D$2:$D$11,0)),"?"))</f>
        <v>LinkedIn</v>
      </c>
      <c r="G5" s="5" t="str">
        <f aca="false">IF(E5="","",IFERROR(INDEX(Listes!$G$2:$G$11,MATCH(E5,Listes!$D$2:$D$11,0)),"?"))</f>
        <v>Auto</v>
      </c>
      <c r="H5" s="4" t="s">
        <v>90</v>
      </c>
      <c r="I5" s="4" t="s">
        <v>44</v>
      </c>
      <c r="J5" s="5" t="str">
        <f aca="false">IF(I5="","",IFERROR(INDEX(Contenus!$C:$C,MATCH(I5,Contenus!$A:$A,0)),"ID inconnu"))</f>
        <v>Capsule 2</v>
      </c>
      <c r="K5" s="4"/>
      <c r="L5" s="4"/>
      <c r="M5" s="4"/>
      <c r="N5" s="4"/>
      <c r="O5" s="6" t="s">
        <v>91</v>
      </c>
      <c r="P5" s="6"/>
    </row>
    <row r="6" customFormat="false" ht="15" hidden="false" customHeight="false" outlineLevel="0" collapsed="false">
      <c r="A6" s="4" t="n">
        <v>2</v>
      </c>
      <c r="B6" s="4" t="s">
        <v>92</v>
      </c>
      <c r="C6" s="12" t="n">
        <f aca="false">IF(OR(A6="",B6=""),"",Campagne!$B$4+(A6-1)*7+INDEX(Listes!$B$2:$B$8,MATCH(B6,Listes!$A$2:$A$8,0)))</f>
        <v>46309</v>
      </c>
      <c r="D6" s="13" t="n">
        <v>0.375</v>
      </c>
      <c r="E6" s="4" t="s">
        <v>93</v>
      </c>
      <c r="F6" s="5" t="str">
        <f aca="false">IF(E6="","",IFERROR(INDEX(Listes!$E$2:$E$11,MATCH(E6,Listes!$D$2:$D$11,0)),"?"))</f>
        <v>LinkedIn</v>
      </c>
      <c r="G6" s="5" t="str">
        <f aca="false">IF(E6="","",IFERROR(INDEX(Listes!$G$2:$G$11,MATCH(E6,Listes!$D$2:$D$11,0)),"?"))</f>
        <v>Relais</v>
      </c>
      <c r="H6" s="4" t="s">
        <v>90</v>
      </c>
      <c r="I6" s="4" t="s">
        <v>53</v>
      </c>
      <c r="J6" s="5" t="str">
        <f aca="false">IF(I6="","",IFERROR(INDEX(Contenus!$C:$C,MATCH(I6,Contenus!$A:$A,0)),"ID inconnu"))</f>
        <v>Capsule 5</v>
      </c>
      <c r="K6" s="4"/>
      <c r="L6" s="4"/>
      <c r="M6" s="4"/>
      <c r="N6" s="4"/>
      <c r="O6" s="6" t="s">
        <v>91</v>
      </c>
      <c r="P6" s="6"/>
    </row>
    <row r="7" customFormat="false" ht="23.85" hidden="false" customHeight="false" outlineLevel="0" collapsed="false">
      <c r="A7" s="4" t="n">
        <v>2</v>
      </c>
      <c r="B7" s="4" t="s">
        <v>96</v>
      </c>
      <c r="C7" s="12" t="n">
        <f aca="false">IF(OR(A7="",B7=""),"",Campagne!$B$4+(A7-1)*7+INDEX(Listes!$B$2:$B$8,MATCH(B7,Listes!$A$2:$A$8,0)))</f>
        <v>46310</v>
      </c>
      <c r="D7" s="13" t="n">
        <v>0.375</v>
      </c>
      <c r="E7" s="4" t="s">
        <v>97</v>
      </c>
      <c r="F7" s="5" t="str">
        <f aca="false">IF(E7="","",IFERROR(INDEX(Listes!$E$2:$E$11,MATCH(E7,Listes!$D$2:$D$11,0)),"?"))</f>
        <v>YouTube</v>
      </c>
      <c r="G7" s="5" t="str">
        <f aca="false">IF(E7="","",IFERROR(INDEX(Listes!$G$2:$G$11,MATCH(E7,Listes!$D$2:$D$11,0)),"?"))</f>
        <v>Studio</v>
      </c>
      <c r="H7" s="4" t="s">
        <v>60</v>
      </c>
      <c r="I7" s="4" t="s">
        <v>62</v>
      </c>
      <c r="J7" s="5" t="str">
        <f aca="false">IF(I7="","",IFERROR(INDEX(Contenus!$C:$C,MATCH(I7,Contenus!$A:$A,0)),"ID inconnu"))</f>
        <v>Short 2</v>
      </c>
      <c r="K7" s="4" t="s">
        <v>30</v>
      </c>
      <c r="L7" s="4" t="s">
        <v>98</v>
      </c>
      <c r="M7" s="4"/>
      <c r="N7" s="4"/>
      <c r="O7" s="6" t="s">
        <v>91</v>
      </c>
      <c r="P7" s="6"/>
    </row>
    <row r="8" customFormat="false" ht="15" hidden="false" customHeight="false" outlineLevel="0" collapsed="false">
      <c r="A8" s="4" t="n">
        <v>3</v>
      </c>
      <c r="B8" s="4" t="s">
        <v>88</v>
      </c>
      <c r="C8" s="12" t="n">
        <f aca="false">IF(OR(A8="",B8=""),"",Campagne!$B$4+(A8-1)*7+INDEX(Listes!$B$2:$B$8,MATCH(B8,Listes!$A$2:$A$8,0)))</f>
        <v>46314</v>
      </c>
      <c r="D8" s="13" t="n">
        <v>0.375</v>
      </c>
      <c r="E8" s="4" t="s">
        <v>89</v>
      </c>
      <c r="F8" s="5" t="str">
        <f aca="false">IF(E8="","",IFERROR(INDEX(Listes!$E$2:$E$11,MATCH(E8,Listes!$D$2:$D$11,0)),"?"))</f>
        <v>LinkedIn</v>
      </c>
      <c r="G8" s="5" t="str">
        <f aca="false">IF(E8="","",IFERROR(INDEX(Listes!$G$2:$G$11,MATCH(E8,Listes!$D$2:$D$11,0)),"?"))</f>
        <v>Auto</v>
      </c>
      <c r="H8" s="4" t="s">
        <v>90</v>
      </c>
      <c r="I8" s="4" t="s">
        <v>47</v>
      </c>
      <c r="J8" s="5" t="str">
        <f aca="false">IF(I8="","",IFERROR(INDEX(Contenus!$C:$C,MATCH(I8,Contenus!$A:$A,0)),"ID inconnu"))</f>
        <v>Capsule 3</v>
      </c>
      <c r="K8" s="4"/>
      <c r="L8" s="4"/>
      <c r="M8" s="4"/>
      <c r="N8" s="4"/>
      <c r="O8" s="6" t="s">
        <v>91</v>
      </c>
      <c r="P8" s="6"/>
    </row>
    <row r="9" customFormat="false" ht="15" hidden="false" customHeight="false" outlineLevel="0" collapsed="false">
      <c r="A9" s="4" t="n">
        <v>3</v>
      </c>
      <c r="B9" s="4" t="s">
        <v>92</v>
      </c>
      <c r="C9" s="12" t="n">
        <f aca="false">IF(OR(A9="",B9=""),"",Campagne!$B$4+(A9-1)*7+INDEX(Listes!$B$2:$B$8,MATCH(B9,Listes!$A$2:$A$8,0)))</f>
        <v>46316</v>
      </c>
      <c r="D9" s="13" t="n">
        <v>0.375</v>
      </c>
      <c r="E9" s="4" t="s">
        <v>93</v>
      </c>
      <c r="F9" s="5" t="str">
        <f aca="false">IF(E9="","",IFERROR(INDEX(Listes!$E$2:$E$11,MATCH(E9,Listes!$D$2:$D$11,0)),"?"))</f>
        <v>LinkedIn</v>
      </c>
      <c r="G9" s="5" t="str">
        <f aca="false">IF(E9="","",IFERROR(INDEX(Listes!$G$2:$G$11,MATCH(E9,Listes!$D$2:$D$11,0)),"?"))</f>
        <v>Relais</v>
      </c>
      <c r="H9" s="4" t="s">
        <v>90</v>
      </c>
      <c r="I9" s="4" t="s">
        <v>50</v>
      </c>
      <c r="J9" s="5" t="str">
        <f aca="false">IF(I9="","",IFERROR(INDEX(Contenus!$C:$C,MATCH(I9,Contenus!$A:$A,0)),"ID inconnu"))</f>
        <v>Capsule 4</v>
      </c>
      <c r="K9" s="4"/>
      <c r="L9" s="4"/>
      <c r="M9" s="4"/>
      <c r="N9" s="4"/>
      <c r="O9" s="6" t="s">
        <v>91</v>
      </c>
      <c r="P9" s="6"/>
    </row>
    <row r="10" customFormat="false" ht="23.85" hidden="false" customHeight="false" outlineLevel="0" collapsed="false">
      <c r="A10" s="4" t="n">
        <v>3</v>
      </c>
      <c r="B10" s="4" t="s">
        <v>96</v>
      </c>
      <c r="C10" s="12" t="n">
        <f aca="false">IF(OR(A10="",B10=""),"",Campagne!$B$4+(A10-1)*7+INDEX(Listes!$B$2:$B$8,MATCH(B10,Listes!$A$2:$A$8,0)))</f>
        <v>46317</v>
      </c>
      <c r="D10" s="13" t="n">
        <v>0.375</v>
      </c>
      <c r="E10" s="4" t="s">
        <v>97</v>
      </c>
      <c r="F10" s="5" t="str">
        <f aca="false">IF(E10="","",IFERROR(INDEX(Listes!$E$2:$E$11,MATCH(E10,Listes!$D$2:$D$11,0)),"?"))</f>
        <v>YouTube</v>
      </c>
      <c r="G10" s="5" t="str">
        <f aca="false">IF(E10="","",IFERROR(INDEX(Listes!$G$2:$G$11,MATCH(E10,Listes!$D$2:$D$11,0)),"?"))</f>
        <v>Studio</v>
      </c>
      <c r="H10" s="4" t="s">
        <v>60</v>
      </c>
      <c r="I10" s="4" t="s">
        <v>64</v>
      </c>
      <c r="J10" s="5" t="str">
        <f aca="false">IF(I10="","",IFERROR(INDEX(Contenus!$C:$C,MATCH(I10,Contenus!$A:$A,0)),"ID inconnu"))</f>
        <v>Short 3</v>
      </c>
      <c r="K10" s="4" t="s">
        <v>30</v>
      </c>
      <c r="L10" s="4" t="s">
        <v>98</v>
      </c>
      <c r="M10" s="4"/>
      <c r="N10" s="4"/>
      <c r="O10" s="6" t="s">
        <v>91</v>
      </c>
      <c r="P10" s="6"/>
    </row>
    <row r="11" customFormat="false" ht="15" hidden="false" customHeight="false" outlineLevel="0" collapsed="false">
      <c r="A11" s="4" t="n">
        <v>4</v>
      </c>
      <c r="B11" s="4" t="s">
        <v>88</v>
      </c>
      <c r="C11" s="12" t="n">
        <f aca="false">IF(OR(A11="",B11=""),"",Campagne!$B$4+(A11-1)*7+INDEX(Listes!$B$2:$B$8,MATCH(B11,Listes!$A$2:$A$8,0)))</f>
        <v>46321</v>
      </c>
      <c r="D11" s="13" t="n">
        <v>0.375</v>
      </c>
      <c r="E11" s="4" t="s">
        <v>89</v>
      </c>
      <c r="F11" s="5" t="str">
        <f aca="false">IF(E11="","",IFERROR(INDEX(Listes!$E$2:$E$11,MATCH(E11,Listes!$D$2:$D$11,0)),"?"))</f>
        <v>LinkedIn</v>
      </c>
      <c r="G11" s="5" t="str">
        <f aca="false">IF(E11="","",IFERROR(INDEX(Listes!$G$2:$G$11,MATCH(E11,Listes!$D$2:$D$11,0)),"?"))</f>
        <v>Auto</v>
      </c>
      <c r="H11" s="4" t="s">
        <v>90</v>
      </c>
      <c r="I11" s="4" t="s">
        <v>50</v>
      </c>
      <c r="J11" s="5" t="str">
        <f aca="false">IF(I11="","",IFERROR(INDEX(Contenus!$C:$C,MATCH(I11,Contenus!$A:$A,0)),"ID inconnu"))</f>
        <v>Capsule 4</v>
      </c>
      <c r="K11" s="4"/>
      <c r="L11" s="4"/>
      <c r="M11" s="4"/>
      <c r="N11" s="4"/>
      <c r="O11" s="6" t="s">
        <v>91</v>
      </c>
      <c r="P11" s="6"/>
    </row>
    <row r="12" customFormat="false" ht="15" hidden="false" customHeight="false" outlineLevel="0" collapsed="false">
      <c r="A12" s="4" t="n">
        <v>4</v>
      </c>
      <c r="B12" s="4" t="s">
        <v>92</v>
      </c>
      <c r="C12" s="12" t="n">
        <f aca="false">IF(OR(A12="",B12=""),"",Campagne!$B$4+(A12-1)*7+INDEX(Listes!$B$2:$B$8,MATCH(B12,Listes!$A$2:$A$8,0)))</f>
        <v>46323</v>
      </c>
      <c r="D12" s="13" t="n">
        <v>0.375</v>
      </c>
      <c r="E12" s="4" t="s">
        <v>93</v>
      </c>
      <c r="F12" s="5" t="str">
        <f aca="false">IF(E12="","",IFERROR(INDEX(Listes!$E$2:$E$11,MATCH(E12,Listes!$D$2:$D$11,0)),"?"))</f>
        <v>LinkedIn</v>
      </c>
      <c r="G12" s="5" t="str">
        <f aca="false">IF(E12="","",IFERROR(INDEX(Listes!$G$2:$G$11,MATCH(E12,Listes!$D$2:$D$11,0)),"?"))</f>
        <v>Relais</v>
      </c>
      <c r="H12" s="4" t="s">
        <v>90</v>
      </c>
      <c r="I12" s="4" t="s">
        <v>47</v>
      </c>
      <c r="J12" s="5" t="str">
        <f aca="false">IF(I12="","",IFERROR(INDEX(Contenus!$C:$C,MATCH(I12,Contenus!$A:$A,0)),"ID inconnu"))</f>
        <v>Capsule 3</v>
      </c>
      <c r="K12" s="4"/>
      <c r="L12" s="4"/>
      <c r="M12" s="4"/>
      <c r="N12" s="4"/>
      <c r="O12" s="6" t="s">
        <v>91</v>
      </c>
      <c r="P12" s="6"/>
    </row>
    <row r="13" customFormat="false" ht="23.85" hidden="false" customHeight="false" outlineLevel="0" collapsed="false">
      <c r="A13" s="4" t="n">
        <v>4</v>
      </c>
      <c r="B13" s="4" t="s">
        <v>96</v>
      </c>
      <c r="C13" s="12" t="n">
        <f aca="false">IF(OR(A13="",B13=""),"",Campagne!$B$4+(A13-1)*7+INDEX(Listes!$B$2:$B$8,MATCH(B13,Listes!$A$2:$A$8,0)))</f>
        <v>46324</v>
      </c>
      <c r="D13" s="13" t="n">
        <v>0.375</v>
      </c>
      <c r="E13" s="4" t="s">
        <v>97</v>
      </c>
      <c r="F13" s="5" t="str">
        <f aca="false">IF(E13="","",IFERROR(INDEX(Listes!$E$2:$E$11,MATCH(E13,Listes!$D$2:$D$11,0)),"?"))</f>
        <v>YouTube</v>
      </c>
      <c r="G13" s="5" t="str">
        <f aca="false">IF(E13="","",IFERROR(INDEX(Listes!$G$2:$G$11,MATCH(E13,Listes!$D$2:$D$11,0)),"?"))</f>
        <v>Studio</v>
      </c>
      <c r="H13" s="4" t="s">
        <v>60</v>
      </c>
      <c r="I13" s="4" t="s">
        <v>66</v>
      </c>
      <c r="J13" s="5" t="str">
        <f aca="false">IF(I13="","",IFERROR(INDEX(Contenus!$C:$C,MATCH(I13,Contenus!$A:$A,0)),"ID inconnu"))</f>
        <v>Short 4</v>
      </c>
      <c r="K13" s="4" t="s">
        <v>30</v>
      </c>
      <c r="L13" s="4" t="s">
        <v>98</v>
      </c>
      <c r="M13" s="4"/>
      <c r="N13" s="4"/>
      <c r="O13" s="6" t="s">
        <v>91</v>
      </c>
      <c r="P13" s="6"/>
    </row>
    <row r="14" customFormat="false" ht="15" hidden="false" customHeight="false" outlineLevel="0" collapsed="false">
      <c r="A14" s="4" t="n">
        <v>5</v>
      </c>
      <c r="B14" s="4" t="s">
        <v>88</v>
      </c>
      <c r="C14" s="12" t="n">
        <f aca="false">IF(OR(A14="",B14=""),"",Campagne!$B$4+(A14-1)*7+INDEX(Listes!$B$2:$B$8,MATCH(B14,Listes!$A$2:$A$8,0)))</f>
        <v>46328</v>
      </c>
      <c r="D14" s="13" t="n">
        <v>0.375</v>
      </c>
      <c r="E14" s="4" t="s">
        <v>89</v>
      </c>
      <c r="F14" s="5" t="str">
        <f aca="false">IF(E14="","",IFERROR(INDEX(Listes!$E$2:$E$11,MATCH(E14,Listes!$D$2:$D$11,0)),"?"))</f>
        <v>LinkedIn</v>
      </c>
      <c r="G14" s="5" t="str">
        <f aca="false">IF(E14="","",IFERROR(INDEX(Listes!$G$2:$G$11,MATCH(E14,Listes!$D$2:$D$11,0)),"?"))</f>
        <v>Auto</v>
      </c>
      <c r="H14" s="4" t="s">
        <v>90</v>
      </c>
      <c r="I14" s="4" t="s">
        <v>53</v>
      </c>
      <c r="J14" s="5" t="str">
        <f aca="false">IF(I14="","",IFERROR(INDEX(Contenus!$C:$C,MATCH(I14,Contenus!$A:$A,0)),"ID inconnu"))</f>
        <v>Capsule 5</v>
      </c>
      <c r="K14" s="4"/>
      <c r="L14" s="4"/>
      <c r="M14" s="4"/>
      <c r="N14" s="4"/>
      <c r="O14" s="6" t="s">
        <v>91</v>
      </c>
      <c r="P14" s="6"/>
    </row>
    <row r="15" customFormat="false" ht="15" hidden="false" customHeight="false" outlineLevel="0" collapsed="false">
      <c r="A15" s="4" t="n">
        <v>5</v>
      </c>
      <c r="B15" s="4" t="s">
        <v>92</v>
      </c>
      <c r="C15" s="12" t="n">
        <f aca="false">IF(OR(A15="",B15=""),"",Campagne!$B$4+(A15-1)*7+INDEX(Listes!$B$2:$B$8,MATCH(B15,Listes!$A$2:$A$8,0)))</f>
        <v>46330</v>
      </c>
      <c r="D15" s="13" t="n">
        <v>0.375</v>
      </c>
      <c r="E15" s="4" t="s">
        <v>93</v>
      </c>
      <c r="F15" s="5" t="str">
        <f aca="false">IF(E15="","",IFERROR(INDEX(Listes!$E$2:$E$11,MATCH(E15,Listes!$D$2:$D$11,0)),"?"))</f>
        <v>LinkedIn</v>
      </c>
      <c r="G15" s="5" t="str">
        <f aca="false">IF(E15="","",IFERROR(INDEX(Listes!$G$2:$G$11,MATCH(E15,Listes!$D$2:$D$11,0)),"?"))</f>
        <v>Relais</v>
      </c>
      <c r="H15" s="4" t="s">
        <v>90</v>
      </c>
      <c r="I15" s="4" t="s">
        <v>44</v>
      </c>
      <c r="J15" s="5" t="str">
        <f aca="false">IF(I15="","",IFERROR(INDEX(Contenus!$C:$C,MATCH(I15,Contenus!$A:$A,0)),"ID inconnu"))</f>
        <v>Capsule 2</v>
      </c>
      <c r="K15" s="4"/>
      <c r="L15" s="4"/>
      <c r="M15" s="4"/>
      <c r="N15" s="4"/>
      <c r="O15" s="6" t="s">
        <v>91</v>
      </c>
      <c r="P15" s="6"/>
    </row>
    <row r="16" customFormat="false" ht="23.85" hidden="false" customHeight="false" outlineLevel="0" collapsed="false">
      <c r="A16" s="4" t="n">
        <v>5</v>
      </c>
      <c r="B16" s="4" t="s">
        <v>96</v>
      </c>
      <c r="C16" s="12" t="n">
        <f aca="false">IF(OR(A16="",B16=""),"",Campagne!$B$4+(A16-1)*7+INDEX(Listes!$B$2:$B$8,MATCH(B16,Listes!$A$2:$A$8,0)))</f>
        <v>46331</v>
      </c>
      <c r="D16" s="13" t="n">
        <v>0.375</v>
      </c>
      <c r="E16" s="4" t="s">
        <v>97</v>
      </c>
      <c r="F16" s="5" t="str">
        <f aca="false">IF(E16="","",IFERROR(INDEX(Listes!$E$2:$E$11,MATCH(E16,Listes!$D$2:$D$11,0)),"?"))</f>
        <v>YouTube</v>
      </c>
      <c r="G16" s="5" t="str">
        <f aca="false">IF(E16="","",IFERROR(INDEX(Listes!$G$2:$G$11,MATCH(E16,Listes!$D$2:$D$11,0)),"?"))</f>
        <v>Studio</v>
      </c>
      <c r="H16" s="4" t="s">
        <v>60</v>
      </c>
      <c r="I16" s="4" t="s">
        <v>68</v>
      </c>
      <c r="J16" s="5" t="str">
        <f aca="false">IF(I16="","",IFERROR(INDEX(Contenus!$C:$C,MATCH(I16,Contenus!$A:$A,0)),"ID inconnu"))</f>
        <v>Short 5</v>
      </c>
      <c r="K16" s="4" t="s">
        <v>30</v>
      </c>
      <c r="L16" s="4" t="s">
        <v>98</v>
      </c>
      <c r="M16" s="4"/>
      <c r="N16" s="4"/>
      <c r="O16" s="6" t="s">
        <v>91</v>
      </c>
      <c r="P16" s="6"/>
    </row>
    <row r="17" customFormat="false" ht="15" hidden="false" customHeight="false" outlineLevel="0" collapsed="false">
      <c r="A17" s="4" t="n">
        <v>6</v>
      </c>
      <c r="B17" s="4" t="s">
        <v>88</v>
      </c>
      <c r="C17" s="12" t="n">
        <f aca="false">IF(OR(A17="",B17=""),"",Campagne!$B$4+(A17-1)*7+INDEX(Listes!$B$2:$B$8,MATCH(B17,Listes!$A$2:$A$8,0)))</f>
        <v>46335</v>
      </c>
      <c r="D17" s="13" t="n">
        <v>0.375</v>
      </c>
      <c r="E17" s="4" t="s">
        <v>89</v>
      </c>
      <c r="F17" s="5" t="str">
        <f aca="false">IF(E17="","",IFERROR(INDEX(Listes!$E$2:$E$11,MATCH(E17,Listes!$D$2:$D$11,0)),"?"))</f>
        <v>LinkedIn</v>
      </c>
      <c r="G17" s="5" t="str">
        <f aca="false">IF(E17="","",IFERROR(INDEX(Listes!$G$2:$G$11,MATCH(E17,Listes!$D$2:$D$11,0)),"?"))</f>
        <v>Auto</v>
      </c>
      <c r="H17" s="4" t="s">
        <v>90</v>
      </c>
      <c r="I17" s="4" t="s">
        <v>56</v>
      </c>
      <c r="J17" s="5" t="str">
        <f aca="false">IF(I17="","",IFERROR(INDEX(Contenus!$C:$C,MATCH(I17,Contenus!$A:$A,0)),"ID inconnu"))</f>
        <v>Capsule 6</v>
      </c>
      <c r="K17" s="4"/>
      <c r="L17" s="4"/>
      <c r="M17" s="4"/>
      <c r="N17" s="4"/>
      <c r="O17" s="6" t="s">
        <v>91</v>
      </c>
      <c r="P17" s="6"/>
    </row>
    <row r="18" customFormat="false" ht="15" hidden="false" customHeight="false" outlineLevel="0" collapsed="false">
      <c r="A18" s="4" t="n">
        <v>6</v>
      </c>
      <c r="B18" s="4" t="s">
        <v>92</v>
      </c>
      <c r="C18" s="12" t="n">
        <f aca="false">IF(OR(A18="",B18=""),"",Campagne!$B$4+(A18-1)*7+INDEX(Listes!$B$2:$B$8,MATCH(B18,Listes!$A$2:$A$8,0)))</f>
        <v>46337</v>
      </c>
      <c r="D18" s="13" t="n">
        <v>0.375</v>
      </c>
      <c r="E18" s="4" t="s">
        <v>93</v>
      </c>
      <c r="F18" s="5" t="str">
        <f aca="false">IF(E18="","",IFERROR(INDEX(Listes!$E$2:$E$11,MATCH(E18,Listes!$D$2:$D$11,0)),"?"))</f>
        <v>LinkedIn</v>
      </c>
      <c r="G18" s="5" t="str">
        <f aca="false">IF(E18="","",IFERROR(INDEX(Listes!$G$2:$G$11,MATCH(E18,Listes!$D$2:$D$11,0)),"?"))</f>
        <v>Relais</v>
      </c>
      <c r="H18" s="4" t="s">
        <v>90</v>
      </c>
      <c r="I18" s="4" t="s">
        <v>40</v>
      </c>
      <c r="J18" s="5" t="str">
        <f aca="false">IF(I18="","",IFERROR(INDEX(Contenus!$C:$C,MATCH(I18,Contenus!$A:$A,0)),"ID inconnu"))</f>
        <v>Capsule 1</v>
      </c>
      <c r="K18" s="4"/>
      <c r="L18" s="4"/>
      <c r="M18" s="4"/>
      <c r="N18" s="4"/>
      <c r="O18" s="6" t="s">
        <v>91</v>
      </c>
      <c r="P18" s="6"/>
    </row>
    <row r="19" customFormat="false" ht="23.85" hidden="false" customHeight="false" outlineLevel="0" collapsed="false">
      <c r="A19" s="4" t="n">
        <v>6</v>
      </c>
      <c r="B19" s="4" t="s">
        <v>96</v>
      </c>
      <c r="C19" s="12" t="n">
        <f aca="false">IF(OR(A19="",B19=""),"",Campagne!$B$4+(A19-1)*7+INDEX(Listes!$B$2:$B$8,MATCH(B19,Listes!$A$2:$A$8,0)))</f>
        <v>46338</v>
      </c>
      <c r="D19" s="13" t="n">
        <v>0.375</v>
      </c>
      <c r="E19" s="4" t="s">
        <v>97</v>
      </c>
      <c r="F19" s="5" t="str">
        <f aca="false">IF(E19="","",IFERROR(INDEX(Listes!$E$2:$E$11,MATCH(E19,Listes!$D$2:$D$11,0)),"?"))</f>
        <v>YouTube</v>
      </c>
      <c r="G19" s="5" t="str">
        <f aca="false">IF(E19="","",IFERROR(INDEX(Listes!$G$2:$G$11,MATCH(E19,Listes!$D$2:$D$11,0)),"?"))</f>
        <v>Studio</v>
      </c>
      <c r="H19" s="4" t="s">
        <v>60</v>
      </c>
      <c r="I19" s="4" t="s">
        <v>70</v>
      </c>
      <c r="J19" s="5" t="str">
        <f aca="false">IF(I19="","",IFERROR(INDEX(Contenus!$C:$C,MATCH(I19,Contenus!$A:$A,0)),"ID inconnu"))</f>
        <v>Short 6</v>
      </c>
      <c r="K19" s="4" t="s">
        <v>30</v>
      </c>
      <c r="L19" s="4" t="s">
        <v>98</v>
      </c>
      <c r="M19" s="4"/>
      <c r="N19" s="4"/>
      <c r="O19" s="6" t="s">
        <v>91</v>
      </c>
      <c r="P19" s="6"/>
    </row>
    <row r="20" customFormat="false" ht="15" hidden="false" customHeight="false" outlineLevel="0" collapsed="false">
      <c r="A20" s="4"/>
      <c r="B20" s="4"/>
      <c r="C20" s="12" t="str">
        <f aca="false">IF(OR(A20="",B20=""),"",Campagne!$B$4+(A20-1)*7+INDEX(Listes!$B$2:$B$8,MATCH(B20,Listes!$A$2:$A$8,0)))</f>
        <v/>
      </c>
      <c r="D20" s="13"/>
      <c r="E20" s="4"/>
      <c r="F20" s="5" t="str">
        <f aca="false">IF(E20="","",IFERROR(INDEX(Listes!$E$2:$E$11,MATCH(E20,Listes!$D$2:$D$11,0)),"?"))</f>
        <v/>
      </c>
      <c r="G20" s="5" t="str">
        <f aca="false">IF(E20="","",IFERROR(INDEX(Listes!$G$2:$G$11,MATCH(E20,Listes!$D$2:$D$11,0)),"?"))</f>
        <v/>
      </c>
      <c r="H20" s="4"/>
      <c r="I20" s="4"/>
      <c r="J20" s="5" t="str">
        <f aca="false">IF(I20="","",IFERROR(INDEX(Contenus!$C:$C,MATCH(I20,Contenus!$A:$A,0)),"ID inconnu"))</f>
        <v/>
      </c>
      <c r="K20" s="4"/>
      <c r="L20" s="4"/>
      <c r="M20" s="4"/>
      <c r="N20" s="4"/>
      <c r="O20" s="6"/>
      <c r="P20" s="6"/>
    </row>
    <row r="21" customFormat="false" ht="15" hidden="false" customHeight="false" outlineLevel="0" collapsed="false">
      <c r="A21" s="4"/>
      <c r="B21" s="4"/>
      <c r="C21" s="12" t="str">
        <f aca="false">IF(OR(A21="",B21=""),"",Campagne!$B$4+(A21-1)*7+INDEX(Listes!$B$2:$B$8,MATCH(B21,Listes!$A$2:$A$8,0)))</f>
        <v/>
      </c>
      <c r="D21" s="13"/>
      <c r="E21" s="4"/>
      <c r="F21" s="5" t="str">
        <f aca="false">IF(E21="","",IFERROR(INDEX(Listes!$E$2:$E$11,MATCH(E21,Listes!$D$2:$D$11,0)),"?"))</f>
        <v/>
      </c>
      <c r="G21" s="5" t="str">
        <f aca="false">IF(E21="","",IFERROR(INDEX(Listes!$G$2:$G$11,MATCH(E21,Listes!$D$2:$D$11,0)),"?"))</f>
        <v/>
      </c>
      <c r="H21" s="4"/>
      <c r="I21" s="4"/>
      <c r="J21" s="5" t="str">
        <f aca="false">IF(I21="","",IFERROR(INDEX(Contenus!$C:$C,MATCH(I21,Contenus!$A:$A,0)),"ID inconnu"))</f>
        <v/>
      </c>
      <c r="K21" s="4"/>
      <c r="L21" s="4"/>
      <c r="M21" s="4"/>
      <c r="N21" s="4"/>
      <c r="O21" s="6"/>
      <c r="P21" s="6"/>
    </row>
    <row r="22" customFormat="false" ht="15" hidden="false" customHeight="false" outlineLevel="0" collapsed="false">
      <c r="A22" s="4"/>
      <c r="B22" s="4"/>
      <c r="C22" s="12" t="str">
        <f aca="false">IF(OR(A22="",B22=""),"",Campagne!$B$4+(A22-1)*7+INDEX(Listes!$B$2:$B$8,MATCH(B22,Listes!$A$2:$A$8,0)))</f>
        <v/>
      </c>
      <c r="D22" s="13"/>
      <c r="E22" s="4"/>
      <c r="F22" s="5" t="str">
        <f aca="false">IF(E22="","",IFERROR(INDEX(Listes!$E$2:$E$11,MATCH(E22,Listes!$D$2:$D$11,0)),"?"))</f>
        <v/>
      </c>
      <c r="G22" s="5" t="str">
        <f aca="false">IF(E22="","",IFERROR(INDEX(Listes!$G$2:$G$11,MATCH(E22,Listes!$D$2:$D$11,0)),"?"))</f>
        <v/>
      </c>
      <c r="H22" s="4"/>
      <c r="I22" s="4"/>
      <c r="J22" s="5" t="str">
        <f aca="false">IF(I22="","",IFERROR(INDEX(Contenus!$C:$C,MATCH(I22,Contenus!$A:$A,0)),"ID inconnu"))</f>
        <v/>
      </c>
      <c r="K22" s="4"/>
      <c r="L22" s="4"/>
      <c r="M22" s="4"/>
      <c r="N22" s="4"/>
      <c r="O22" s="6"/>
      <c r="P22" s="6"/>
    </row>
    <row r="23" customFormat="false" ht="15" hidden="false" customHeight="false" outlineLevel="0" collapsed="false">
      <c r="A23" s="4"/>
      <c r="B23" s="4"/>
      <c r="C23" s="12" t="str">
        <f aca="false">IF(OR(A23="",B23=""),"",Campagne!$B$4+(A23-1)*7+INDEX(Listes!$B$2:$B$8,MATCH(B23,Listes!$A$2:$A$8,0)))</f>
        <v/>
      </c>
      <c r="D23" s="13"/>
      <c r="E23" s="4"/>
      <c r="F23" s="5" t="str">
        <f aca="false">IF(E23="","",IFERROR(INDEX(Listes!$E$2:$E$11,MATCH(E23,Listes!$D$2:$D$11,0)),"?"))</f>
        <v/>
      </c>
      <c r="G23" s="5" t="str">
        <f aca="false">IF(E23="","",IFERROR(INDEX(Listes!$G$2:$G$11,MATCH(E23,Listes!$D$2:$D$11,0)),"?"))</f>
        <v/>
      </c>
      <c r="H23" s="4"/>
      <c r="I23" s="4"/>
      <c r="J23" s="5" t="str">
        <f aca="false">IF(I23="","",IFERROR(INDEX(Contenus!$C:$C,MATCH(I23,Contenus!$A:$A,0)),"ID inconnu"))</f>
        <v/>
      </c>
      <c r="K23" s="4"/>
      <c r="L23" s="4"/>
      <c r="M23" s="4"/>
      <c r="N23" s="4"/>
      <c r="O23" s="6"/>
      <c r="P23" s="6"/>
    </row>
    <row r="24" customFormat="false" ht="15" hidden="false" customHeight="false" outlineLevel="0" collapsed="false">
      <c r="A24" s="4"/>
      <c r="B24" s="4"/>
      <c r="C24" s="12" t="str">
        <f aca="false">IF(OR(A24="",B24=""),"",Campagne!$B$4+(A24-1)*7+INDEX(Listes!$B$2:$B$8,MATCH(B24,Listes!$A$2:$A$8,0)))</f>
        <v/>
      </c>
      <c r="D24" s="13"/>
      <c r="E24" s="4"/>
      <c r="F24" s="5" t="str">
        <f aca="false">IF(E24="","",IFERROR(INDEX(Listes!$E$2:$E$11,MATCH(E24,Listes!$D$2:$D$11,0)),"?"))</f>
        <v/>
      </c>
      <c r="G24" s="5" t="str">
        <f aca="false">IF(E24="","",IFERROR(INDEX(Listes!$G$2:$G$11,MATCH(E24,Listes!$D$2:$D$11,0)),"?"))</f>
        <v/>
      </c>
      <c r="H24" s="4"/>
      <c r="I24" s="4"/>
      <c r="J24" s="5" t="str">
        <f aca="false">IF(I24="","",IFERROR(INDEX(Contenus!$C:$C,MATCH(I24,Contenus!$A:$A,0)),"ID inconnu"))</f>
        <v/>
      </c>
      <c r="K24" s="4"/>
      <c r="L24" s="4"/>
      <c r="M24" s="4"/>
      <c r="N24" s="4"/>
      <c r="O24" s="6"/>
      <c r="P24" s="6"/>
    </row>
    <row r="25" customFormat="false" ht="15" hidden="false" customHeight="false" outlineLevel="0" collapsed="false">
      <c r="A25" s="4"/>
      <c r="B25" s="4"/>
      <c r="C25" s="12" t="str">
        <f aca="false">IF(OR(A25="",B25=""),"",Campagne!$B$4+(A25-1)*7+INDEX(Listes!$B$2:$B$8,MATCH(B25,Listes!$A$2:$A$8,0)))</f>
        <v/>
      </c>
      <c r="D25" s="13"/>
      <c r="E25" s="4"/>
      <c r="F25" s="5" t="str">
        <f aca="false">IF(E25="","",IFERROR(INDEX(Listes!$E$2:$E$11,MATCH(E25,Listes!$D$2:$D$11,0)),"?"))</f>
        <v/>
      </c>
      <c r="G25" s="5" t="str">
        <f aca="false">IF(E25="","",IFERROR(INDEX(Listes!$G$2:$G$11,MATCH(E25,Listes!$D$2:$D$11,0)),"?"))</f>
        <v/>
      </c>
      <c r="H25" s="4"/>
      <c r="I25" s="4"/>
      <c r="J25" s="5" t="str">
        <f aca="false">IF(I25="","",IFERROR(INDEX(Contenus!$C:$C,MATCH(I25,Contenus!$A:$A,0)),"ID inconnu"))</f>
        <v/>
      </c>
      <c r="K25" s="4"/>
      <c r="L25" s="4"/>
      <c r="M25" s="4"/>
      <c r="N25" s="4"/>
      <c r="O25" s="6"/>
      <c r="P25" s="6"/>
    </row>
    <row r="26" customFormat="false" ht="15" hidden="false" customHeight="false" outlineLevel="0" collapsed="false">
      <c r="A26" s="4"/>
      <c r="B26" s="4"/>
      <c r="C26" s="12" t="str">
        <f aca="false">IF(OR(A26="",B26=""),"",Campagne!$B$4+(A26-1)*7+INDEX(Listes!$B$2:$B$8,MATCH(B26,Listes!$A$2:$A$8,0)))</f>
        <v/>
      </c>
      <c r="D26" s="13"/>
      <c r="E26" s="4"/>
      <c r="F26" s="5" t="str">
        <f aca="false">IF(E26="","",IFERROR(INDEX(Listes!$E$2:$E$11,MATCH(E26,Listes!$D$2:$D$11,0)),"?"))</f>
        <v/>
      </c>
      <c r="G26" s="5" t="str">
        <f aca="false">IF(E26="","",IFERROR(INDEX(Listes!$G$2:$G$11,MATCH(E26,Listes!$D$2:$D$11,0)),"?"))</f>
        <v/>
      </c>
      <c r="H26" s="4"/>
      <c r="I26" s="4"/>
      <c r="J26" s="5" t="str">
        <f aca="false">IF(I26="","",IFERROR(INDEX(Contenus!$C:$C,MATCH(I26,Contenus!$A:$A,0)),"ID inconnu"))</f>
        <v/>
      </c>
      <c r="K26" s="4"/>
      <c r="L26" s="4"/>
      <c r="M26" s="4"/>
      <c r="N26" s="4"/>
      <c r="O26" s="6"/>
      <c r="P26" s="6"/>
    </row>
    <row r="27" customFormat="false" ht="15" hidden="false" customHeight="false" outlineLevel="0" collapsed="false">
      <c r="A27" s="4"/>
      <c r="B27" s="4"/>
      <c r="C27" s="12" t="str">
        <f aca="false">IF(OR(A27="",B27=""),"",Campagne!$B$4+(A27-1)*7+INDEX(Listes!$B$2:$B$8,MATCH(B27,Listes!$A$2:$A$8,0)))</f>
        <v/>
      </c>
      <c r="D27" s="13"/>
      <c r="E27" s="4"/>
      <c r="F27" s="5" t="str">
        <f aca="false">IF(E27="","",IFERROR(INDEX(Listes!$E$2:$E$11,MATCH(E27,Listes!$D$2:$D$11,0)),"?"))</f>
        <v/>
      </c>
      <c r="G27" s="5" t="str">
        <f aca="false">IF(E27="","",IFERROR(INDEX(Listes!$G$2:$G$11,MATCH(E27,Listes!$D$2:$D$11,0)),"?"))</f>
        <v/>
      </c>
      <c r="H27" s="4"/>
      <c r="I27" s="4"/>
      <c r="J27" s="5" t="str">
        <f aca="false">IF(I27="","",IFERROR(INDEX(Contenus!$C:$C,MATCH(I27,Contenus!$A:$A,0)),"ID inconnu"))</f>
        <v/>
      </c>
      <c r="K27" s="4"/>
      <c r="L27" s="4"/>
      <c r="M27" s="4"/>
      <c r="N27" s="4"/>
      <c r="O27" s="6"/>
      <c r="P27" s="6"/>
    </row>
    <row r="28" customFormat="false" ht="15" hidden="false" customHeight="false" outlineLevel="0" collapsed="false">
      <c r="A28" s="4"/>
      <c r="B28" s="4"/>
      <c r="C28" s="12" t="str">
        <f aca="false">IF(OR(A28="",B28=""),"",Campagne!$B$4+(A28-1)*7+INDEX(Listes!$B$2:$B$8,MATCH(B28,Listes!$A$2:$A$8,0)))</f>
        <v/>
      </c>
      <c r="D28" s="13"/>
      <c r="E28" s="4"/>
      <c r="F28" s="5" t="str">
        <f aca="false">IF(E28="","",IFERROR(INDEX(Listes!$E$2:$E$11,MATCH(E28,Listes!$D$2:$D$11,0)),"?"))</f>
        <v/>
      </c>
      <c r="G28" s="5" t="str">
        <f aca="false">IF(E28="","",IFERROR(INDEX(Listes!$G$2:$G$11,MATCH(E28,Listes!$D$2:$D$11,0)),"?"))</f>
        <v/>
      </c>
      <c r="H28" s="4"/>
      <c r="I28" s="4"/>
      <c r="J28" s="5" t="str">
        <f aca="false">IF(I28="","",IFERROR(INDEX(Contenus!$C:$C,MATCH(I28,Contenus!$A:$A,0)),"ID inconnu"))</f>
        <v/>
      </c>
      <c r="K28" s="4"/>
      <c r="L28" s="4"/>
      <c r="M28" s="4"/>
      <c r="N28" s="4"/>
      <c r="O28" s="6"/>
      <c r="P28" s="6"/>
    </row>
    <row r="29" customFormat="false" ht="15" hidden="false" customHeight="false" outlineLevel="0" collapsed="false">
      <c r="A29" s="4"/>
      <c r="B29" s="4"/>
      <c r="C29" s="12" t="str">
        <f aca="false">IF(OR(A29="",B29=""),"",Campagne!$B$4+(A29-1)*7+INDEX(Listes!$B$2:$B$8,MATCH(B29,Listes!$A$2:$A$8,0)))</f>
        <v/>
      </c>
      <c r="D29" s="13"/>
      <c r="E29" s="4"/>
      <c r="F29" s="5" t="str">
        <f aca="false">IF(E29="","",IFERROR(INDEX(Listes!$E$2:$E$11,MATCH(E29,Listes!$D$2:$D$11,0)),"?"))</f>
        <v/>
      </c>
      <c r="G29" s="5" t="str">
        <f aca="false">IF(E29="","",IFERROR(INDEX(Listes!$G$2:$G$11,MATCH(E29,Listes!$D$2:$D$11,0)),"?"))</f>
        <v/>
      </c>
      <c r="H29" s="4"/>
      <c r="I29" s="4"/>
      <c r="J29" s="5" t="str">
        <f aca="false">IF(I29="","",IFERROR(INDEX(Contenus!$C:$C,MATCH(I29,Contenus!$A:$A,0)),"ID inconnu"))</f>
        <v/>
      </c>
      <c r="K29" s="4"/>
      <c r="L29" s="4"/>
      <c r="M29" s="4"/>
      <c r="N29" s="4"/>
      <c r="O29" s="6"/>
      <c r="P29" s="6"/>
    </row>
    <row r="30" customFormat="false" ht="15" hidden="false" customHeight="false" outlineLevel="0" collapsed="false">
      <c r="A30" s="4"/>
      <c r="B30" s="4"/>
      <c r="C30" s="12" t="str">
        <f aca="false">IF(OR(A30="",B30=""),"",Campagne!$B$4+(A30-1)*7+INDEX(Listes!$B$2:$B$8,MATCH(B30,Listes!$A$2:$A$8,0)))</f>
        <v/>
      </c>
      <c r="D30" s="13"/>
      <c r="E30" s="4"/>
      <c r="F30" s="5" t="str">
        <f aca="false">IF(E30="","",IFERROR(INDEX(Listes!$E$2:$E$11,MATCH(E30,Listes!$D$2:$D$11,0)),"?"))</f>
        <v/>
      </c>
      <c r="G30" s="5" t="str">
        <f aca="false">IF(E30="","",IFERROR(INDEX(Listes!$G$2:$G$11,MATCH(E30,Listes!$D$2:$D$11,0)),"?"))</f>
        <v/>
      </c>
      <c r="H30" s="4"/>
      <c r="I30" s="4"/>
      <c r="J30" s="5" t="str">
        <f aca="false">IF(I30="","",IFERROR(INDEX(Contenus!$C:$C,MATCH(I30,Contenus!$A:$A,0)),"ID inconnu"))</f>
        <v/>
      </c>
      <c r="K30" s="4"/>
      <c r="L30" s="4"/>
      <c r="M30" s="4"/>
      <c r="N30" s="4"/>
      <c r="O30" s="6"/>
      <c r="P30" s="6"/>
    </row>
    <row r="31" customFormat="false" ht="15" hidden="false" customHeight="false" outlineLevel="0" collapsed="false">
      <c r="A31" s="4"/>
      <c r="B31" s="4"/>
      <c r="C31" s="12" t="str">
        <f aca="false">IF(OR(A31="",B31=""),"",Campagne!$B$4+(A31-1)*7+INDEX(Listes!$B$2:$B$8,MATCH(B31,Listes!$A$2:$A$8,0)))</f>
        <v/>
      </c>
      <c r="D31" s="13"/>
      <c r="E31" s="4"/>
      <c r="F31" s="5" t="str">
        <f aca="false">IF(E31="","",IFERROR(INDEX(Listes!$E$2:$E$11,MATCH(E31,Listes!$D$2:$D$11,0)),"?"))</f>
        <v/>
      </c>
      <c r="G31" s="5" t="str">
        <f aca="false">IF(E31="","",IFERROR(INDEX(Listes!$G$2:$G$11,MATCH(E31,Listes!$D$2:$D$11,0)),"?"))</f>
        <v/>
      </c>
      <c r="H31" s="4"/>
      <c r="I31" s="4"/>
      <c r="J31" s="5" t="str">
        <f aca="false">IF(I31="","",IFERROR(INDEX(Contenus!$C:$C,MATCH(I31,Contenus!$A:$A,0)),"ID inconnu"))</f>
        <v/>
      </c>
      <c r="K31" s="4"/>
      <c r="L31" s="4"/>
      <c r="M31" s="4"/>
      <c r="N31" s="4"/>
      <c r="O31" s="6"/>
      <c r="P31" s="6"/>
    </row>
    <row r="32" customFormat="false" ht="15" hidden="false" customHeight="false" outlineLevel="0" collapsed="false">
      <c r="A32" s="4"/>
      <c r="B32" s="4"/>
      <c r="C32" s="12" t="str">
        <f aca="false">IF(OR(A32="",B32=""),"",Campagne!$B$4+(A32-1)*7+INDEX(Listes!$B$2:$B$8,MATCH(B32,Listes!$A$2:$A$8,0)))</f>
        <v/>
      </c>
      <c r="D32" s="13"/>
      <c r="E32" s="4"/>
      <c r="F32" s="5" t="str">
        <f aca="false">IF(E32="","",IFERROR(INDEX(Listes!$E$2:$E$11,MATCH(E32,Listes!$D$2:$D$11,0)),"?"))</f>
        <v/>
      </c>
      <c r="G32" s="5" t="str">
        <f aca="false">IF(E32="","",IFERROR(INDEX(Listes!$G$2:$G$11,MATCH(E32,Listes!$D$2:$D$11,0)),"?"))</f>
        <v/>
      </c>
      <c r="H32" s="4"/>
      <c r="I32" s="4"/>
      <c r="J32" s="5" t="str">
        <f aca="false">IF(I32="","",IFERROR(INDEX(Contenus!$C:$C,MATCH(I32,Contenus!$A:$A,0)),"ID inconnu"))</f>
        <v/>
      </c>
      <c r="K32" s="4"/>
      <c r="L32" s="4"/>
      <c r="M32" s="4"/>
      <c r="N32" s="4"/>
      <c r="O32" s="6"/>
      <c r="P32" s="6"/>
    </row>
    <row r="33" customFormat="false" ht="15" hidden="false" customHeight="false" outlineLevel="0" collapsed="false">
      <c r="A33" s="4"/>
      <c r="B33" s="4"/>
      <c r="C33" s="12" t="str">
        <f aca="false">IF(OR(A33="",B33=""),"",Campagne!$B$4+(A33-1)*7+INDEX(Listes!$B$2:$B$8,MATCH(B33,Listes!$A$2:$A$8,0)))</f>
        <v/>
      </c>
      <c r="D33" s="13"/>
      <c r="E33" s="4"/>
      <c r="F33" s="5" t="str">
        <f aca="false">IF(E33="","",IFERROR(INDEX(Listes!$E$2:$E$11,MATCH(E33,Listes!$D$2:$D$11,0)),"?"))</f>
        <v/>
      </c>
      <c r="G33" s="5" t="str">
        <f aca="false">IF(E33="","",IFERROR(INDEX(Listes!$G$2:$G$11,MATCH(E33,Listes!$D$2:$D$11,0)),"?"))</f>
        <v/>
      </c>
      <c r="H33" s="4"/>
      <c r="I33" s="4"/>
      <c r="J33" s="5" t="str">
        <f aca="false">IF(I33="","",IFERROR(INDEX(Contenus!$C:$C,MATCH(I33,Contenus!$A:$A,0)),"ID inconnu"))</f>
        <v/>
      </c>
      <c r="K33" s="4"/>
      <c r="L33" s="4"/>
      <c r="M33" s="4"/>
      <c r="N33" s="4"/>
      <c r="O33" s="6"/>
      <c r="P33" s="6"/>
    </row>
    <row r="34" customFormat="false" ht="15" hidden="false" customHeight="false" outlineLevel="0" collapsed="false">
      <c r="A34" s="4"/>
      <c r="B34" s="4"/>
      <c r="C34" s="12" t="str">
        <f aca="false">IF(OR(A34="",B34=""),"",Campagne!$B$4+(A34-1)*7+INDEX(Listes!$B$2:$B$8,MATCH(B34,Listes!$A$2:$A$8,0)))</f>
        <v/>
      </c>
      <c r="D34" s="13"/>
      <c r="E34" s="4"/>
      <c r="F34" s="5" t="str">
        <f aca="false">IF(E34="","",IFERROR(INDEX(Listes!$E$2:$E$11,MATCH(E34,Listes!$D$2:$D$11,0)),"?"))</f>
        <v/>
      </c>
      <c r="G34" s="5" t="str">
        <f aca="false">IF(E34="","",IFERROR(INDEX(Listes!$G$2:$G$11,MATCH(E34,Listes!$D$2:$D$11,0)),"?"))</f>
        <v/>
      </c>
      <c r="H34" s="4"/>
      <c r="I34" s="4"/>
      <c r="J34" s="5" t="str">
        <f aca="false">IF(I34="","",IFERROR(INDEX(Contenus!$C:$C,MATCH(I34,Contenus!$A:$A,0)),"ID inconnu"))</f>
        <v/>
      </c>
      <c r="K34" s="4"/>
      <c r="L34" s="4"/>
      <c r="M34" s="4"/>
      <c r="N34" s="4"/>
      <c r="O34" s="6"/>
      <c r="P34" s="6"/>
    </row>
    <row r="35" customFormat="false" ht="15" hidden="false" customHeight="false" outlineLevel="0" collapsed="false">
      <c r="A35" s="4"/>
      <c r="B35" s="4"/>
      <c r="C35" s="12" t="str">
        <f aca="false">IF(OR(A35="",B35=""),"",Campagne!$B$4+(A35-1)*7+INDEX(Listes!$B$2:$B$8,MATCH(B35,Listes!$A$2:$A$8,0)))</f>
        <v/>
      </c>
      <c r="D35" s="13"/>
      <c r="E35" s="4"/>
      <c r="F35" s="5" t="str">
        <f aca="false">IF(E35="","",IFERROR(INDEX(Listes!$E$2:$E$11,MATCH(E35,Listes!$D$2:$D$11,0)),"?"))</f>
        <v/>
      </c>
      <c r="G35" s="5" t="str">
        <f aca="false">IF(E35="","",IFERROR(INDEX(Listes!$G$2:$G$11,MATCH(E35,Listes!$D$2:$D$11,0)),"?"))</f>
        <v/>
      </c>
      <c r="H35" s="4"/>
      <c r="I35" s="4"/>
      <c r="J35" s="5" t="str">
        <f aca="false">IF(I35="","",IFERROR(INDEX(Contenus!$C:$C,MATCH(I35,Contenus!$A:$A,0)),"ID inconnu"))</f>
        <v/>
      </c>
      <c r="K35" s="4"/>
      <c r="L35" s="4"/>
      <c r="M35" s="4"/>
      <c r="N35" s="4"/>
      <c r="O35" s="6"/>
      <c r="P35" s="6"/>
    </row>
    <row r="36" customFormat="false" ht="15" hidden="false" customHeight="false" outlineLevel="0" collapsed="false">
      <c r="A36" s="4"/>
      <c r="B36" s="4"/>
      <c r="C36" s="12" t="str">
        <f aca="false">IF(OR(A36="",B36=""),"",Campagne!$B$4+(A36-1)*7+INDEX(Listes!$B$2:$B$8,MATCH(B36,Listes!$A$2:$A$8,0)))</f>
        <v/>
      </c>
      <c r="D36" s="13"/>
      <c r="E36" s="4"/>
      <c r="F36" s="5" t="str">
        <f aca="false">IF(E36="","",IFERROR(INDEX(Listes!$E$2:$E$11,MATCH(E36,Listes!$D$2:$D$11,0)),"?"))</f>
        <v/>
      </c>
      <c r="G36" s="5" t="str">
        <f aca="false">IF(E36="","",IFERROR(INDEX(Listes!$G$2:$G$11,MATCH(E36,Listes!$D$2:$D$11,0)),"?"))</f>
        <v/>
      </c>
      <c r="H36" s="4"/>
      <c r="I36" s="4"/>
      <c r="J36" s="5" t="str">
        <f aca="false">IF(I36="","",IFERROR(INDEX(Contenus!$C:$C,MATCH(I36,Contenus!$A:$A,0)),"ID inconnu"))</f>
        <v/>
      </c>
      <c r="K36" s="4"/>
      <c r="L36" s="4"/>
      <c r="M36" s="4"/>
      <c r="N36" s="4"/>
      <c r="O36" s="6"/>
      <c r="P36" s="6"/>
    </row>
    <row r="37" customFormat="false" ht="15" hidden="false" customHeight="false" outlineLevel="0" collapsed="false">
      <c r="A37" s="4"/>
      <c r="B37" s="4"/>
      <c r="C37" s="12" t="str">
        <f aca="false">IF(OR(A37="",B37=""),"",Campagne!$B$4+(A37-1)*7+INDEX(Listes!$B$2:$B$8,MATCH(B37,Listes!$A$2:$A$8,0)))</f>
        <v/>
      </c>
      <c r="D37" s="13"/>
      <c r="E37" s="4"/>
      <c r="F37" s="5" t="str">
        <f aca="false">IF(E37="","",IFERROR(INDEX(Listes!$E$2:$E$11,MATCH(E37,Listes!$D$2:$D$11,0)),"?"))</f>
        <v/>
      </c>
      <c r="G37" s="5" t="str">
        <f aca="false">IF(E37="","",IFERROR(INDEX(Listes!$G$2:$G$11,MATCH(E37,Listes!$D$2:$D$11,0)),"?"))</f>
        <v/>
      </c>
      <c r="H37" s="4"/>
      <c r="I37" s="4"/>
      <c r="J37" s="5" t="str">
        <f aca="false">IF(I37="","",IFERROR(INDEX(Contenus!$C:$C,MATCH(I37,Contenus!$A:$A,0)),"ID inconnu"))</f>
        <v/>
      </c>
      <c r="K37" s="4"/>
      <c r="L37" s="4"/>
      <c r="M37" s="4"/>
      <c r="N37" s="4"/>
      <c r="O37" s="6"/>
      <c r="P37" s="6"/>
    </row>
    <row r="38" customFormat="false" ht="15" hidden="false" customHeight="false" outlineLevel="0" collapsed="false">
      <c r="A38" s="4"/>
      <c r="B38" s="4"/>
      <c r="C38" s="12" t="str">
        <f aca="false">IF(OR(A38="",B38=""),"",Campagne!$B$4+(A38-1)*7+INDEX(Listes!$B$2:$B$8,MATCH(B38,Listes!$A$2:$A$8,0)))</f>
        <v/>
      </c>
      <c r="D38" s="13"/>
      <c r="E38" s="4"/>
      <c r="F38" s="5" t="str">
        <f aca="false">IF(E38="","",IFERROR(INDEX(Listes!$E$2:$E$11,MATCH(E38,Listes!$D$2:$D$11,0)),"?"))</f>
        <v/>
      </c>
      <c r="G38" s="5" t="str">
        <f aca="false">IF(E38="","",IFERROR(INDEX(Listes!$G$2:$G$11,MATCH(E38,Listes!$D$2:$D$11,0)),"?"))</f>
        <v/>
      </c>
      <c r="H38" s="4"/>
      <c r="I38" s="4"/>
      <c r="J38" s="5" t="str">
        <f aca="false">IF(I38="","",IFERROR(INDEX(Contenus!$C:$C,MATCH(I38,Contenus!$A:$A,0)),"ID inconnu"))</f>
        <v/>
      </c>
      <c r="K38" s="4"/>
      <c r="L38" s="4"/>
      <c r="M38" s="4"/>
      <c r="N38" s="4"/>
      <c r="O38" s="6"/>
      <c r="P38" s="6"/>
    </row>
    <row r="39" customFormat="false" ht="15" hidden="false" customHeight="false" outlineLevel="0" collapsed="false">
      <c r="A39" s="4"/>
      <c r="B39" s="4"/>
      <c r="C39" s="12" t="str">
        <f aca="false">IF(OR(A39="",B39=""),"",Campagne!$B$4+(A39-1)*7+INDEX(Listes!$B$2:$B$8,MATCH(B39,Listes!$A$2:$A$8,0)))</f>
        <v/>
      </c>
      <c r="D39" s="13"/>
      <c r="E39" s="4"/>
      <c r="F39" s="5" t="str">
        <f aca="false">IF(E39="","",IFERROR(INDEX(Listes!$E$2:$E$11,MATCH(E39,Listes!$D$2:$D$11,0)),"?"))</f>
        <v/>
      </c>
      <c r="G39" s="5" t="str">
        <f aca="false">IF(E39="","",IFERROR(INDEX(Listes!$G$2:$G$11,MATCH(E39,Listes!$D$2:$D$11,0)),"?"))</f>
        <v/>
      </c>
      <c r="H39" s="4"/>
      <c r="I39" s="4"/>
      <c r="J39" s="5" t="str">
        <f aca="false">IF(I39="","",IFERROR(INDEX(Contenus!$C:$C,MATCH(I39,Contenus!$A:$A,0)),"ID inconnu"))</f>
        <v/>
      </c>
      <c r="K39" s="4"/>
      <c r="L39" s="4"/>
      <c r="M39" s="4"/>
      <c r="N39" s="4"/>
      <c r="O39" s="6"/>
      <c r="P39" s="6"/>
    </row>
    <row r="40" customFormat="false" ht="15" hidden="false" customHeight="false" outlineLevel="0" collapsed="false">
      <c r="A40" s="4"/>
      <c r="B40" s="4"/>
      <c r="C40" s="12" t="str">
        <f aca="false">IF(OR(A40="",B40=""),"",Campagne!$B$4+(A40-1)*7+INDEX(Listes!$B$2:$B$8,MATCH(B40,Listes!$A$2:$A$8,0)))</f>
        <v/>
      </c>
      <c r="D40" s="13"/>
      <c r="E40" s="4"/>
      <c r="F40" s="5" t="str">
        <f aca="false">IF(E40="","",IFERROR(INDEX(Listes!$E$2:$E$11,MATCH(E40,Listes!$D$2:$D$11,0)),"?"))</f>
        <v/>
      </c>
      <c r="G40" s="5" t="str">
        <f aca="false">IF(E40="","",IFERROR(INDEX(Listes!$G$2:$G$11,MATCH(E40,Listes!$D$2:$D$11,0)),"?"))</f>
        <v/>
      </c>
      <c r="H40" s="4"/>
      <c r="I40" s="4"/>
      <c r="J40" s="5" t="str">
        <f aca="false">IF(I40="","",IFERROR(INDEX(Contenus!$C:$C,MATCH(I40,Contenus!$A:$A,0)),"ID inconnu"))</f>
        <v/>
      </c>
      <c r="K40" s="4"/>
      <c r="L40" s="4"/>
      <c r="M40" s="4"/>
      <c r="N40" s="4"/>
      <c r="O40" s="6"/>
      <c r="P40" s="6"/>
    </row>
    <row r="41" customFormat="false" ht="15" hidden="false" customHeight="false" outlineLevel="0" collapsed="false">
      <c r="A41" s="4"/>
      <c r="B41" s="4"/>
      <c r="C41" s="12" t="str">
        <f aca="false">IF(OR(A41="",B41=""),"",Campagne!$B$4+(A41-1)*7+INDEX(Listes!$B$2:$B$8,MATCH(B41,Listes!$A$2:$A$8,0)))</f>
        <v/>
      </c>
      <c r="D41" s="13"/>
      <c r="E41" s="4"/>
      <c r="F41" s="5" t="str">
        <f aca="false">IF(E41="","",IFERROR(INDEX(Listes!$E$2:$E$11,MATCH(E41,Listes!$D$2:$D$11,0)),"?"))</f>
        <v/>
      </c>
      <c r="G41" s="5" t="str">
        <f aca="false">IF(E41="","",IFERROR(INDEX(Listes!$G$2:$G$11,MATCH(E41,Listes!$D$2:$D$11,0)),"?"))</f>
        <v/>
      </c>
      <c r="H41" s="4"/>
      <c r="I41" s="4"/>
      <c r="J41" s="5" t="str">
        <f aca="false">IF(I41="","",IFERROR(INDEX(Contenus!$C:$C,MATCH(I41,Contenus!$A:$A,0)),"ID inconnu"))</f>
        <v/>
      </c>
      <c r="K41" s="4"/>
      <c r="L41" s="4"/>
      <c r="M41" s="4"/>
      <c r="N41" s="4"/>
      <c r="O41" s="6"/>
      <c r="P41" s="6"/>
    </row>
    <row r="42" customFormat="false" ht="15" hidden="false" customHeight="false" outlineLevel="0" collapsed="false">
      <c r="A42" s="4"/>
      <c r="B42" s="4"/>
      <c r="C42" s="12" t="str">
        <f aca="false">IF(OR(A42="",B42=""),"",Campagne!$B$4+(A42-1)*7+INDEX(Listes!$B$2:$B$8,MATCH(B42,Listes!$A$2:$A$8,0)))</f>
        <v/>
      </c>
      <c r="D42" s="13"/>
      <c r="E42" s="4"/>
      <c r="F42" s="5" t="str">
        <f aca="false">IF(E42="","",IFERROR(INDEX(Listes!$E$2:$E$11,MATCH(E42,Listes!$D$2:$D$11,0)),"?"))</f>
        <v/>
      </c>
      <c r="G42" s="5" t="str">
        <f aca="false">IF(E42="","",IFERROR(INDEX(Listes!$G$2:$G$11,MATCH(E42,Listes!$D$2:$D$11,0)),"?"))</f>
        <v/>
      </c>
      <c r="H42" s="4"/>
      <c r="I42" s="4"/>
      <c r="J42" s="5" t="str">
        <f aca="false">IF(I42="","",IFERROR(INDEX(Contenus!$C:$C,MATCH(I42,Contenus!$A:$A,0)),"ID inconnu"))</f>
        <v/>
      </c>
      <c r="K42" s="4"/>
      <c r="L42" s="4"/>
      <c r="M42" s="4"/>
      <c r="N42" s="4"/>
      <c r="O42" s="6"/>
      <c r="P42" s="6"/>
    </row>
    <row r="43" customFormat="false" ht="15" hidden="false" customHeight="false" outlineLevel="0" collapsed="false">
      <c r="A43" s="4"/>
      <c r="B43" s="4"/>
      <c r="C43" s="12" t="str">
        <f aca="false">IF(OR(A43="",B43=""),"",Campagne!$B$4+(A43-1)*7+INDEX(Listes!$B$2:$B$8,MATCH(B43,Listes!$A$2:$A$8,0)))</f>
        <v/>
      </c>
      <c r="D43" s="13"/>
      <c r="E43" s="4"/>
      <c r="F43" s="5" t="str">
        <f aca="false">IF(E43="","",IFERROR(INDEX(Listes!$E$2:$E$11,MATCH(E43,Listes!$D$2:$D$11,0)),"?"))</f>
        <v/>
      </c>
      <c r="G43" s="5" t="str">
        <f aca="false">IF(E43="","",IFERROR(INDEX(Listes!$G$2:$G$11,MATCH(E43,Listes!$D$2:$D$11,0)),"?"))</f>
        <v/>
      </c>
      <c r="H43" s="4"/>
      <c r="I43" s="4"/>
      <c r="J43" s="5" t="str">
        <f aca="false">IF(I43="","",IFERROR(INDEX(Contenus!$C:$C,MATCH(I43,Contenus!$A:$A,0)),"ID inconnu"))</f>
        <v/>
      </c>
      <c r="K43" s="4"/>
      <c r="L43" s="4"/>
      <c r="M43" s="4"/>
      <c r="N43" s="4"/>
      <c r="O43" s="6"/>
      <c r="P43" s="6"/>
    </row>
    <row r="44" customFormat="false" ht="15" hidden="false" customHeight="false" outlineLevel="0" collapsed="false">
      <c r="A44" s="4"/>
      <c r="B44" s="4"/>
      <c r="C44" s="12" t="str">
        <f aca="false">IF(OR(A44="",B44=""),"",Campagne!$B$4+(A44-1)*7+INDEX(Listes!$B$2:$B$8,MATCH(B44,Listes!$A$2:$A$8,0)))</f>
        <v/>
      </c>
      <c r="D44" s="13"/>
      <c r="E44" s="4"/>
      <c r="F44" s="5" t="str">
        <f aca="false">IF(E44="","",IFERROR(INDEX(Listes!$E$2:$E$11,MATCH(E44,Listes!$D$2:$D$11,0)),"?"))</f>
        <v/>
      </c>
      <c r="G44" s="5" t="str">
        <f aca="false">IF(E44="","",IFERROR(INDEX(Listes!$G$2:$G$11,MATCH(E44,Listes!$D$2:$D$11,0)),"?"))</f>
        <v/>
      </c>
      <c r="H44" s="4"/>
      <c r="I44" s="4"/>
      <c r="J44" s="5" t="str">
        <f aca="false">IF(I44="","",IFERROR(INDEX(Contenus!$C:$C,MATCH(I44,Contenus!$A:$A,0)),"ID inconnu"))</f>
        <v/>
      </c>
      <c r="K44" s="4"/>
      <c r="L44" s="4"/>
      <c r="M44" s="4"/>
      <c r="N44" s="4"/>
      <c r="O44" s="6"/>
      <c r="P44" s="6"/>
    </row>
    <row r="45" customFormat="false" ht="15" hidden="false" customHeight="false" outlineLevel="0" collapsed="false">
      <c r="A45" s="4"/>
      <c r="B45" s="4"/>
      <c r="C45" s="12" t="str">
        <f aca="false">IF(OR(A45="",B45=""),"",Campagne!$B$4+(A45-1)*7+INDEX(Listes!$B$2:$B$8,MATCH(B45,Listes!$A$2:$A$8,0)))</f>
        <v/>
      </c>
      <c r="D45" s="13"/>
      <c r="E45" s="4"/>
      <c r="F45" s="5" t="str">
        <f aca="false">IF(E45="","",IFERROR(INDEX(Listes!$E$2:$E$11,MATCH(E45,Listes!$D$2:$D$11,0)),"?"))</f>
        <v/>
      </c>
      <c r="G45" s="5" t="str">
        <f aca="false">IF(E45="","",IFERROR(INDEX(Listes!$G$2:$G$11,MATCH(E45,Listes!$D$2:$D$11,0)),"?"))</f>
        <v/>
      </c>
      <c r="H45" s="4"/>
      <c r="I45" s="4"/>
      <c r="J45" s="5" t="str">
        <f aca="false">IF(I45="","",IFERROR(INDEX(Contenus!$C:$C,MATCH(I45,Contenus!$A:$A,0)),"ID inconnu"))</f>
        <v/>
      </c>
      <c r="K45" s="4"/>
      <c r="L45" s="4"/>
      <c r="M45" s="4"/>
      <c r="N45" s="4"/>
      <c r="O45" s="6"/>
      <c r="P45" s="6"/>
    </row>
    <row r="46" customFormat="false" ht="15" hidden="false" customHeight="false" outlineLevel="0" collapsed="false">
      <c r="A46" s="4"/>
      <c r="B46" s="4"/>
      <c r="C46" s="12" t="str">
        <f aca="false">IF(OR(A46="",B46=""),"",Campagne!$B$4+(A46-1)*7+INDEX(Listes!$B$2:$B$8,MATCH(B46,Listes!$A$2:$A$8,0)))</f>
        <v/>
      </c>
      <c r="D46" s="13"/>
      <c r="E46" s="4"/>
      <c r="F46" s="5" t="str">
        <f aca="false">IF(E46="","",IFERROR(INDEX(Listes!$E$2:$E$11,MATCH(E46,Listes!$D$2:$D$11,0)),"?"))</f>
        <v/>
      </c>
      <c r="G46" s="5" t="str">
        <f aca="false">IF(E46="","",IFERROR(INDEX(Listes!$G$2:$G$11,MATCH(E46,Listes!$D$2:$D$11,0)),"?"))</f>
        <v/>
      </c>
      <c r="H46" s="4"/>
      <c r="I46" s="4"/>
      <c r="J46" s="5" t="str">
        <f aca="false">IF(I46="","",IFERROR(INDEX(Contenus!$C:$C,MATCH(I46,Contenus!$A:$A,0)),"ID inconnu"))</f>
        <v/>
      </c>
      <c r="K46" s="4"/>
      <c r="L46" s="4"/>
      <c r="M46" s="4"/>
      <c r="N46" s="4"/>
      <c r="O46" s="6"/>
      <c r="P46" s="6"/>
    </row>
    <row r="47" customFormat="false" ht="15" hidden="false" customHeight="false" outlineLevel="0" collapsed="false">
      <c r="A47" s="4"/>
      <c r="B47" s="4"/>
      <c r="C47" s="12" t="str">
        <f aca="false">IF(OR(A47="",B47=""),"",Campagne!$B$4+(A47-1)*7+INDEX(Listes!$B$2:$B$8,MATCH(B47,Listes!$A$2:$A$8,0)))</f>
        <v/>
      </c>
      <c r="D47" s="13"/>
      <c r="E47" s="4"/>
      <c r="F47" s="5" t="str">
        <f aca="false">IF(E47="","",IFERROR(INDEX(Listes!$E$2:$E$11,MATCH(E47,Listes!$D$2:$D$11,0)),"?"))</f>
        <v/>
      </c>
      <c r="G47" s="5" t="str">
        <f aca="false">IF(E47="","",IFERROR(INDEX(Listes!$G$2:$G$11,MATCH(E47,Listes!$D$2:$D$11,0)),"?"))</f>
        <v/>
      </c>
      <c r="H47" s="4"/>
      <c r="I47" s="4"/>
      <c r="J47" s="5" t="str">
        <f aca="false">IF(I47="","",IFERROR(INDEX(Contenus!$C:$C,MATCH(I47,Contenus!$A:$A,0)),"ID inconnu"))</f>
        <v/>
      </c>
      <c r="K47" s="4"/>
      <c r="L47" s="4"/>
      <c r="M47" s="4"/>
      <c r="N47" s="4"/>
      <c r="O47" s="6"/>
      <c r="P47" s="6"/>
    </row>
    <row r="48" customFormat="false" ht="15" hidden="false" customHeight="false" outlineLevel="0" collapsed="false">
      <c r="A48" s="4"/>
      <c r="B48" s="4"/>
      <c r="C48" s="12" t="str">
        <f aca="false">IF(OR(A48="",B48=""),"",Campagne!$B$4+(A48-1)*7+INDEX(Listes!$B$2:$B$8,MATCH(B48,Listes!$A$2:$A$8,0)))</f>
        <v/>
      </c>
      <c r="D48" s="13"/>
      <c r="E48" s="4"/>
      <c r="F48" s="5" t="str">
        <f aca="false">IF(E48="","",IFERROR(INDEX(Listes!$E$2:$E$11,MATCH(E48,Listes!$D$2:$D$11,0)),"?"))</f>
        <v/>
      </c>
      <c r="G48" s="5" t="str">
        <f aca="false">IF(E48="","",IFERROR(INDEX(Listes!$G$2:$G$11,MATCH(E48,Listes!$D$2:$D$11,0)),"?"))</f>
        <v/>
      </c>
      <c r="H48" s="4"/>
      <c r="I48" s="4"/>
      <c r="J48" s="5" t="str">
        <f aca="false">IF(I48="","",IFERROR(INDEX(Contenus!$C:$C,MATCH(I48,Contenus!$A:$A,0)),"ID inconnu"))</f>
        <v/>
      </c>
      <c r="K48" s="4"/>
      <c r="L48" s="4"/>
      <c r="M48" s="4"/>
      <c r="N48" s="4"/>
      <c r="O48" s="6"/>
      <c r="P48" s="6"/>
    </row>
    <row r="49" customFormat="false" ht="15" hidden="false" customHeight="false" outlineLevel="0" collapsed="false">
      <c r="A49" s="4"/>
      <c r="B49" s="4"/>
      <c r="C49" s="12" t="str">
        <f aca="false">IF(OR(A49="",B49=""),"",Campagne!$B$4+(A49-1)*7+INDEX(Listes!$B$2:$B$8,MATCH(B49,Listes!$A$2:$A$8,0)))</f>
        <v/>
      </c>
      <c r="D49" s="13"/>
      <c r="E49" s="4"/>
      <c r="F49" s="5" t="str">
        <f aca="false">IF(E49="","",IFERROR(INDEX(Listes!$E$2:$E$11,MATCH(E49,Listes!$D$2:$D$11,0)),"?"))</f>
        <v/>
      </c>
      <c r="G49" s="5" t="str">
        <f aca="false">IF(E49="","",IFERROR(INDEX(Listes!$G$2:$G$11,MATCH(E49,Listes!$D$2:$D$11,0)),"?"))</f>
        <v/>
      </c>
      <c r="H49" s="4"/>
      <c r="I49" s="4"/>
      <c r="J49" s="5" t="str">
        <f aca="false">IF(I49="","",IFERROR(INDEX(Contenus!$C:$C,MATCH(I49,Contenus!$A:$A,0)),"ID inconnu"))</f>
        <v/>
      </c>
      <c r="K49" s="4"/>
      <c r="L49" s="4"/>
      <c r="M49" s="4"/>
      <c r="N49" s="4"/>
      <c r="O49" s="6"/>
      <c r="P49" s="6"/>
    </row>
    <row r="50" customFormat="false" ht="15" hidden="false" customHeight="false" outlineLevel="0" collapsed="false">
      <c r="A50" s="4"/>
      <c r="B50" s="4"/>
      <c r="C50" s="12" t="str">
        <f aca="false">IF(OR(A50="",B50=""),"",Campagne!$B$4+(A50-1)*7+INDEX(Listes!$B$2:$B$8,MATCH(B50,Listes!$A$2:$A$8,0)))</f>
        <v/>
      </c>
      <c r="D50" s="13"/>
      <c r="E50" s="4"/>
      <c r="F50" s="5" t="str">
        <f aca="false">IF(E50="","",IFERROR(INDEX(Listes!$E$2:$E$11,MATCH(E50,Listes!$D$2:$D$11,0)),"?"))</f>
        <v/>
      </c>
      <c r="G50" s="5" t="str">
        <f aca="false">IF(E50="","",IFERROR(INDEX(Listes!$G$2:$G$11,MATCH(E50,Listes!$D$2:$D$11,0)),"?"))</f>
        <v/>
      </c>
      <c r="H50" s="4"/>
      <c r="I50" s="4"/>
      <c r="J50" s="5" t="str">
        <f aca="false">IF(I50="","",IFERROR(INDEX(Contenus!$C:$C,MATCH(I50,Contenus!$A:$A,0)),"ID inconnu"))</f>
        <v/>
      </c>
      <c r="K50" s="4"/>
      <c r="L50" s="4"/>
      <c r="M50" s="4"/>
      <c r="N50" s="4"/>
      <c r="O50" s="6"/>
      <c r="P50" s="6"/>
    </row>
    <row r="51" customFormat="false" ht="15" hidden="false" customHeight="false" outlineLevel="0" collapsed="false">
      <c r="A51" s="4"/>
      <c r="B51" s="4"/>
      <c r="C51" s="12" t="str">
        <f aca="false">IF(OR(A51="",B51=""),"",Campagne!$B$4+(A51-1)*7+INDEX(Listes!$B$2:$B$8,MATCH(B51,Listes!$A$2:$A$8,0)))</f>
        <v/>
      </c>
      <c r="D51" s="13"/>
      <c r="E51" s="4"/>
      <c r="F51" s="5" t="str">
        <f aca="false">IF(E51="","",IFERROR(INDEX(Listes!$E$2:$E$11,MATCH(E51,Listes!$D$2:$D$11,0)),"?"))</f>
        <v/>
      </c>
      <c r="G51" s="5" t="str">
        <f aca="false">IF(E51="","",IFERROR(INDEX(Listes!$G$2:$G$11,MATCH(E51,Listes!$D$2:$D$11,0)),"?"))</f>
        <v/>
      </c>
      <c r="H51" s="4"/>
      <c r="I51" s="4"/>
      <c r="J51" s="5" t="str">
        <f aca="false">IF(I51="","",IFERROR(INDEX(Contenus!$C:$C,MATCH(I51,Contenus!$A:$A,0)),"ID inconnu"))</f>
        <v/>
      </c>
      <c r="K51" s="4"/>
      <c r="L51" s="4"/>
      <c r="M51" s="4"/>
      <c r="N51" s="4"/>
      <c r="O51" s="6"/>
      <c r="P51" s="6"/>
    </row>
    <row r="52" customFormat="false" ht="15" hidden="false" customHeight="false" outlineLevel="0" collapsed="false">
      <c r="A52" s="4"/>
      <c r="B52" s="4"/>
      <c r="C52" s="12" t="str">
        <f aca="false">IF(OR(A52="",B52=""),"",Campagne!$B$4+(A52-1)*7+INDEX(Listes!$B$2:$B$8,MATCH(B52,Listes!$A$2:$A$8,0)))</f>
        <v/>
      </c>
      <c r="D52" s="13"/>
      <c r="E52" s="4"/>
      <c r="F52" s="5" t="str">
        <f aca="false">IF(E52="","",IFERROR(INDEX(Listes!$E$2:$E$11,MATCH(E52,Listes!$D$2:$D$11,0)),"?"))</f>
        <v/>
      </c>
      <c r="G52" s="5" t="str">
        <f aca="false">IF(E52="","",IFERROR(INDEX(Listes!$G$2:$G$11,MATCH(E52,Listes!$D$2:$D$11,0)),"?"))</f>
        <v/>
      </c>
      <c r="H52" s="4"/>
      <c r="I52" s="4"/>
      <c r="J52" s="5" t="str">
        <f aca="false">IF(I52="","",IFERROR(INDEX(Contenus!$C:$C,MATCH(I52,Contenus!$A:$A,0)),"ID inconnu"))</f>
        <v/>
      </c>
      <c r="K52" s="4"/>
      <c r="L52" s="4"/>
      <c r="M52" s="4"/>
      <c r="N52" s="4"/>
      <c r="O52" s="6"/>
      <c r="P52" s="6"/>
    </row>
    <row r="53" customFormat="false" ht="15" hidden="false" customHeight="false" outlineLevel="0" collapsed="false">
      <c r="A53" s="4"/>
      <c r="B53" s="4"/>
      <c r="C53" s="12" t="str">
        <f aca="false">IF(OR(A53="",B53=""),"",Campagne!$B$4+(A53-1)*7+INDEX(Listes!$B$2:$B$8,MATCH(B53,Listes!$A$2:$A$8,0)))</f>
        <v/>
      </c>
      <c r="D53" s="13"/>
      <c r="E53" s="4"/>
      <c r="F53" s="5" t="str">
        <f aca="false">IF(E53="","",IFERROR(INDEX(Listes!$E$2:$E$11,MATCH(E53,Listes!$D$2:$D$11,0)),"?"))</f>
        <v/>
      </c>
      <c r="G53" s="5" t="str">
        <f aca="false">IF(E53="","",IFERROR(INDEX(Listes!$G$2:$G$11,MATCH(E53,Listes!$D$2:$D$11,0)),"?"))</f>
        <v/>
      </c>
      <c r="H53" s="4"/>
      <c r="I53" s="4"/>
      <c r="J53" s="5" t="str">
        <f aca="false">IF(I53="","",IFERROR(INDEX(Contenus!$C:$C,MATCH(I53,Contenus!$A:$A,0)),"ID inconnu"))</f>
        <v/>
      </c>
      <c r="K53" s="4"/>
      <c r="L53" s="4"/>
      <c r="M53" s="4"/>
      <c r="N53" s="4"/>
      <c r="O53" s="6"/>
      <c r="P53" s="6"/>
    </row>
    <row r="54" customFormat="false" ht="15" hidden="false" customHeight="false" outlineLevel="0" collapsed="false">
      <c r="A54" s="4"/>
      <c r="B54" s="4"/>
      <c r="C54" s="12" t="str">
        <f aca="false">IF(OR(A54="",B54=""),"",Campagne!$B$4+(A54-1)*7+INDEX(Listes!$B$2:$B$8,MATCH(B54,Listes!$A$2:$A$8,0)))</f>
        <v/>
      </c>
      <c r="D54" s="13"/>
      <c r="E54" s="4"/>
      <c r="F54" s="5" t="str">
        <f aca="false">IF(E54="","",IFERROR(INDEX(Listes!$E$2:$E$11,MATCH(E54,Listes!$D$2:$D$11,0)),"?"))</f>
        <v/>
      </c>
      <c r="G54" s="5" t="str">
        <f aca="false">IF(E54="","",IFERROR(INDEX(Listes!$G$2:$G$11,MATCH(E54,Listes!$D$2:$D$11,0)),"?"))</f>
        <v/>
      </c>
      <c r="H54" s="4"/>
      <c r="I54" s="4"/>
      <c r="J54" s="5" t="str">
        <f aca="false">IF(I54="","",IFERROR(INDEX(Contenus!$C:$C,MATCH(I54,Contenus!$A:$A,0)),"ID inconnu"))</f>
        <v/>
      </c>
      <c r="K54" s="4"/>
      <c r="L54" s="4"/>
      <c r="M54" s="4"/>
      <c r="N54" s="4"/>
      <c r="O54" s="6"/>
      <c r="P54" s="6"/>
    </row>
    <row r="55" customFormat="false" ht="15" hidden="false" customHeight="false" outlineLevel="0" collapsed="false">
      <c r="A55" s="4"/>
      <c r="B55" s="4"/>
      <c r="C55" s="12" t="str">
        <f aca="false">IF(OR(A55="",B55=""),"",Campagne!$B$4+(A55-1)*7+INDEX(Listes!$B$2:$B$8,MATCH(B55,Listes!$A$2:$A$8,0)))</f>
        <v/>
      </c>
      <c r="D55" s="13"/>
      <c r="E55" s="4"/>
      <c r="F55" s="5" t="str">
        <f aca="false">IF(E55="","",IFERROR(INDEX(Listes!$E$2:$E$11,MATCH(E55,Listes!$D$2:$D$11,0)),"?"))</f>
        <v/>
      </c>
      <c r="G55" s="5" t="str">
        <f aca="false">IF(E55="","",IFERROR(INDEX(Listes!$G$2:$G$11,MATCH(E55,Listes!$D$2:$D$11,0)),"?"))</f>
        <v/>
      </c>
      <c r="H55" s="4"/>
      <c r="I55" s="4"/>
      <c r="J55" s="5" t="str">
        <f aca="false">IF(I55="","",IFERROR(INDEX(Contenus!$C:$C,MATCH(I55,Contenus!$A:$A,0)),"ID inconnu"))</f>
        <v/>
      </c>
      <c r="K55" s="4"/>
      <c r="L55" s="4"/>
      <c r="M55" s="4"/>
      <c r="N55" s="4"/>
      <c r="O55" s="6"/>
      <c r="P55" s="6"/>
    </row>
    <row r="56" customFormat="false" ht="15" hidden="false" customHeight="false" outlineLevel="0" collapsed="false">
      <c r="A56" s="4"/>
      <c r="B56" s="4"/>
      <c r="C56" s="12" t="str">
        <f aca="false">IF(OR(A56="",B56=""),"",Campagne!$B$4+(A56-1)*7+INDEX(Listes!$B$2:$B$8,MATCH(B56,Listes!$A$2:$A$8,0)))</f>
        <v/>
      </c>
      <c r="D56" s="13"/>
      <c r="E56" s="4"/>
      <c r="F56" s="5" t="str">
        <f aca="false">IF(E56="","",IFERROR(INDEX(Listes!$E$2:$E$11,MATCH(E56,Listes!$D$2:$D$11,0)),"?"))</f>
        <v/>
      </c>
      <c r="G56" s="5" t="str">
        <f aca="false">IF(E56="","",IFERROR(INDEX(Listes!$G$2:$G$11,MATCH(E56,Listes!$D$2:$D$11,0)),"?"))</f>
        <v/>
      </c>
      <c r="H56" s="4"/>
      <c r="I56" s="4"/>
      <c r="J56" s="5" t="str">
        <f aca="false">IF(I56="","",IFERROR(INDEX(Contenus!$C:$C,MATCH(I56,Contenus!$A:$A,0)),"ID inconnu"))</f>
        <v/>
      </c>
      <c r="K56" s="4"/>
      <c r="L56" s="4"/>
      <c r="M56" s="4"/>
      <c r="N56" s="4"/>
      <c r="O56" s="6"/>
      <c r="P56" s="6"/>
    </row>
    <row r="57" customFormat="false" ht="15" hidden="false" customHeight="false" outlineLevel="0" collapsed="false">
      <c r="A57" s="4"/>
      <c r="B57" s="4"/>
      <c r="C57" s="12" t="str">
        <f aca="false">IF(OR(A57="",B57=""),"",Campagne!$B$4+(A57-1)*7+INDEX(Listes!$B$2:$B$8,MATCH(B57,Listes!$A$2:$A$8,0)))</f>
        <v/>
      </c>
      <c r="D57" s="13"/>
      <c r="E57" s="4"/>
      <c r="F57" s="5" t="str">
        <f aca="false">IF(E57="","",IFERROR(INDEX(Listes!$E$2:$E$11,MATCH(E57,Listes!$D$2:$D$11,0)),"?"))</f>
        <v/>
      </c>
      <c r="G57" s="5" t="str">
        <f aca="false">IF(E57="","",IFERROR(INDEX(Listes!$G$2:$G$11,MATCH(E57,Listes!$D$2:$D$11,0)),"?"))</f>
        <v/>
      </c>
      <c r="H57" s="4"/>
      <c r="I57" s="4"/>
      <c r="J57" s="5" t="str">
        <f aca="false">IF(I57="","",IFERROR(INDEX(Contenus!$C:$C,MATCH(I57,Contenus!$A:$A,0)),"ID inconnu"))</f>
        <v/>
      </c>
      <c r="K57" s="4"/>
      <c r="L57" s="4"/>
      <c r="M57" s="4"/>
      <c r="N57" s="4"/>
      <c r="O57" s="6"/>
      <c r="P57" s="6"/>
    </row>
    <row r="58" customFormat="false" ht="15" hidden="false" customHeight="false" outlineLevel="0" collapsed="false">
      <c r="A58" s="4"/>
      <c r="B58" s="4"/>
      <c r="C58" s="12" t="str">
        <f aca="false">IF(OR(A58="",B58=""),"",Campagne!$B$4+(A58-1)*7+INDEX(Listes!$B$2:$B$8,MATCH(B58,Listes!$A$2:$A$8,0)))</f>
        <v/>
      </c>
      <c r="D58" s="13"/>
      <c r="E58" s="4"/>
      <c r="F58" s="5" t="str">
        <f aca="false">IF(E58="","",IFERROR(INDEX(Listes!$E$2:$E$11,MATCH(E58,Listes!$D$2:$D$11,0)),"?"))</f>
        <v/>
      </c>
      <c r="G58" s="5" t="str">
        <f aca="false">IF(E58="","",IFERROR(INDEX(Listes!$G$2:$G$11,MATCH(E58,Listes!$D$2:$D$11,0)),"?"))</f>
        <v/>
      </c>
      <c r="H58" s="4"/>
      <c r="I58" s="4"/>
      <c r="J58" s="5" t="str">
        <f aca="false">IF(I58="","",IFERROR(INDEX(Contenus!$C:$C,MATCH(I58,Contenus!$A:$A,0)),"ID inconnu"))</f>
        <v/>
      </c>
      <c r="K58" s="4"/>
      <c r="L58" s="4"/>
      <c r="M58" s="4"/>
      <c r="N58" s="4"/>
      <c r="O58" s="6"/>
      <c r="P58" s="6"/>
    </row>
    <row r="59" customFormat="false" ht="15" hidden="false" customHeight="false" outlineLevel="0" collapsed="false">
      <c r="A59" s="4"/>
      <c r="B59" s="4"/>
      <c r="C59" s="12" t="str">
        <f aca="false">IF(OR(A59="",B59=""),"",Campagne!$B$4+(A59-1)*7+INDEX(Listes!$B$2:$B$8,MATCH(B59,Listes!$A$2:$A$8,0)))</f>
        <v/>
      </c>
      <c r="D59" s="13"/>
      <c r="E59" s="4"/>
      <c r="F59" s="5" t="str">
        <f aca="false">IF(E59="","",IFERROR(INDEX(Listes!$E$2:$E$11,MATCH(E59,Listes!$D$2:$D$11,0)),"?"))</f>
        <v/>
      </c>
      <c r="G59" s="5" t="str">
        <f aca="false">IF(E59="","",IFERROR(INDEX(Listes!$G$2:$G$11,MATCH(E59,Listes!$D$2:$D$11,0)),"?"))</f>
        <v/>
      </c>
      <c r="H59" s="4"/>
      <c r="I59" s="4"/>
      <c r="J59" s="5" t="str">
        <f aca="false">IF(I59="","",IFERROR(INDEX(Contenus!$C:$C,MATCH(I59,Contenus!$A:$A,0)),"ID inconnu"))</f>
        <v/>
      </c>
      <c r="K59" s="4"/>
      <c r="L59" s="4"/>
      <c r="M59" s="4"/>
      <c r="N59" s="4"/>
      <c r="O59" s="6"/>
      <c r="P59" s="6"/>
    </row>
  </sheetData>
  <autoFilter ref="A1:P59"/>
  <dataValidations count="5">
    <dataValidation allowBlank="true" errorStyle="stop" operator="between" showDropDown="false" showErrorMessage="false" showInputMessage="false" sqref="A2:A59" type="whole">
      <formula1>1</formula1>
      <formula2>52</formula2>
    </dataValidation>
    <dataValidation allowBlank="true" errorStyle="stop" operator="between" showDropDown="false" showErrorMessage="false" showInputMessage="false" sqref="B2:B59" type="list">
      <formula1>Listes!$A$2:$A$8</formula1>
      <formula2>0</formula2>
    </dataValidation>
    <dataValidation allowBlank="true" errorStyle="stop" operator="between" showDropDown="false" showErrorMessage="false" showInputMessage="false" sqref="E2:E59" type="list">
      <formula1>Listes!$D$2:$D$11</formula1>
      <formula2>0</formula2>
    </dataValidation>
    <dataValidation allowBlank="true" errorStyle="stop" operator="between" showDropDown="false" showErrorMessage="false" showInputMessage="false" sqref="H2:H59" type="list">
      <formula1>Listes!$I$2:$I$7</formula1>
      <formula2>0</formula2>
    </dataValidation>
    <dataValidation allowBlank="true" errorStyle="stop" operator="between" showDropDown="false" showErrorMessage="false" showInputMessage="false" sqref="I2:I59" type="list">
      <formula1>Contenus!$A$2:$A$34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36"/>
    <col collapsed="false" customWidth="true" hidden="false" outlineLevel="0" max="6" min="6" style="0" width="40"/>
    <col collapsed="false" customWidth="true" hidden="false" outlineLevel="0" max="7" min="7" style="0" width="22"/>
  </cols>
  <sheetData>
    <row r="1" customFormat="false" ht="30" hidden="false" customHeight="true" outlineLevel="0" collapsed="false">
      <c r="A1" s="11" t="s">
        <v>99</v>
      </c>
      <c r="B1" s="11" t="s">
        <v>100</v>
      </c>
      <c r="C1" s="11" t="s">
        <v>101</v>
      </c>
      <c r="D1" s="11" t="s">
        <v>102</v>
      </c>
      <c r="E1" s="11" t="s">
        <v>103</v>
      </c>
      <c r="F1" s="11" t="s">
        <v>104</v>
      </c>
      <c r="G1" s="11" t="s">
        <v>105</v>
      </c>
    </row>
    <row r="2" customFormat="false" ht="15" hidden="false" customHeight="false" outlineLevel="0" collapsed="false">
      <c r="A2" s="4" t="s">
        <v>93</v>
      </c>
      <c r="B2" s="4"/>
      <c r="C2" s="4"/>
      <c r="D2" s="4"/>
      <c r="E2" s="4"/>
      <c r="F2" s="4"/>
      <c r="G2" s="5" t="str">
        <f aca="false">IF(A2="","",TRIM(A2&amp;IF(B2="",""," "&amp;B2)))</f>
        <v>Anne Laure</v>
      </c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5" t="str">
        <f aca="false">IF(A3="","",TRIM(A3&amp;IF(B3="",""," "&amp;B3)))</f>
        <v/>
      </c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5" t="str">
        <f aca="false">IF(A4="","",TRIM(A4&amp;IF(B4="",""," "&amp;B4)))</f>
        <v/>
      </c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5" t="str">
        <f aca="false">IF(A5="","",TRIM(A5&amp;IF(B5="",""," "&amp;B5)))</f>
        <v/>
      </c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5" t="str">
        <f aca="false">IF(A6="","",TRIM(A6&amp;IF(B6="",""," "&amp;B6)))</f>
        <v/>
      </c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5" t="str">
        <f aca="false">IF(A7="","",TRIM(A7&amp;IF(B7="",""," "&amp;B7)))</f>
        <v/>
      </c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5" t="str">
        <f aca="false">IF(A8="","",TRIM(A8&amp;IF(B8="",""," "&amp;B8)))</f>
        <v/>
      </c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5" t="str">
        <f aca="false">IF(A9="","",TRIM(A9&amp;IF(B9="",""," "&amp;B9)))</f>
        <v/>
      </c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5" t="str">
        <f aca="false">IF(A10="","",TRIM(A10&amp;IF(B10="",""," "&amp;B10)))</f>
        <v/>
      </c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5" t="str">
        <f aca="false">IF(A11="","",TRIM(A11&amp;IF(B11="",""," "&amp;B11)))</f>
        <v/>
      </c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5" t="str">
        <f aca="false">IF(A12="","",TRIM(A12&amp;IF(B12="",""," "&amp;B12)))</f>
        <v/>
      </c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5" t="str">
        <f aca="false">IF(A13="","",TRIM(A13&amp;IF(B13="",""," "&amp;B13)))</f>
        <v/>
      </c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5" t="str">
        <f aca="false">IF(A14="","",TRIM(A14&amp;IF(B14="",""," "&amp;B14)))</f>
        <v/>
      </c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5" t="str">
        <f aca="false">IF(A15="","",TRIM(A15&amp;IF(B15="",""," "&amp;B15)))</f>
        <v/>
      </c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5" t="str">
        <f aca="false">IF(A16="","",TRIM(A16&amp;IF(B16="",""," "&amp;B16)))</f>
        <v/>
      </c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5" t="str">
        <f aca="false">IF(A17="","",TRIM(A17&amp;IF(B17="",""," "&amp;B17)))</f>
        <v/>
      </c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5" t="str">
        <f aca="false">IF(A18="","",TRIM(A18&amp;IF(B18="",""," "&amp;B18)))</f>
        <v/>
      </c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5" t="str">
        <f aca="false">IF(A19="","",TRIM(A19&amp;IF(B19="",""," "&amp;B19)))</f>
        <v/>
      </c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5" t="str">
        <f aca="false">IF(A20="","",TRIM(A20&amp;IF(B20="",""," "&amp;B20)))</f>
        <v/>
      </c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5" t="str">
        <f aca="false">IF(A21="","",TRIM(A21&amp;IF(B21="",""," "&amp;B21)))</f>
        <v/>
      </c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5" t="str">
        <f aca="false">IF(A22="","",TRIM(A22&amp;IF(B22="",""," "&amp;B22)))</f>
        <v/>
      </c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5" t="str">
        <f aca="false">IF(A23="","",TRIM(A23&amp;IF(B23="",""," "&amp;B23)))</f>
        <v/>
      </c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5" t="str">
        <f aca="false">IF(A24="","",TRIM(A24&amp;IF(B24="",""," "&amp;B24)))</f>
        <v/>
      </c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5" t="str">
        <f aca="false">IF(A25="","",TRIM(A25&amp;IF(B25="",""," "&amp;B25)))</f>
        <v/>
      </c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5" t="str">
        <f aca="false">IF(A26="","",TRIM(A26&amp;IF(B26="",""," "&amp;B26)))</f>
        <v/>
      </c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5" t="str">
        <f aca="false">IF(A27="","",TRIM(A27&amp;IF(B27="",""," "&amp;B27)))</f>
        <v/>
      </c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5" t="str">
        <f aca="false">IF(A28="","",TRIM(A28&amp;IF(B28="",""," "&amp;B28)))</f>
        <v/>
      </c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5" t="str">
        <f aca="false">IF(A29="","",TRIM(A29&amp;IF(B29="",""," "&amp;B29)))</f>
        <v/>
      </c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5" t="str">
        <f aca="false">IF(A30="","",TRIM(A30&amp;IF(B30="",""," "&amp;B30)))</f>
        <v/>
      </c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5" t="str">
        <f aca="false">IF(A31="","",TRIM(A31&amp;IF(B31="",""," "&amp;B31)))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3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3"/>
    <col collapsed="false" customWidth="true" hidden="false" outlineLevel="0" max="9" min="9" style="0" width="16"/>
    <col collapsed="false" customWidth="true" hidden="false" outlineLevel="0" max="10" min="10" style="0" width="3"/>
    <col collapsed="false" customWidth="true" hidden="false" outlineLevel="0" max="11" min="11" style="0" width="16"/>
    <col collapsed="false" customWidth="true" hidden="false" outlineLevel="0" max="12" min="12" style="0" width="3"/>
    <col collapsed="false" customWidth="true" hidden="false" outlineLevel="0" max="13" min="13" style="0" width="12"/>
  </cols>
  <sheetData>
    <row r="1" customFormat="false" ht="15" hidden="false" customHeight="false" outlineLevel="0" collapsed="false">
      <c r="A1" s="8" t="s">
        <v>73</v>
      </c>
      <c r="B1" s="8" t="s">
        <v>106</v>
      </c>
      <c r="D1" s="8" t="s">
        <v>76</v>
      </c>
      <c r="E1" s="8" t="s">
        <v>77</v>
      </c>
      <c r="F1" s="8" t="s">
        <v>32</v>
      </c>
      <c r="G1" s="8" t="s">
        <v>107</v>
      </c>
      <c r="I1" s="8" t="s">
        <v>79</v>
      </c>
      <c r="K1" s="8" t="s">
        <v>108</v>
      </c>
      <c r="M1" s="8" t="s">
        <v>77</v>
      </c>
    </row>
    <row r="2" customFormat="false" ht="15" hidden="false" customHeight="false" outlineLevel="0" collapsed="false">
      <c r="A2" s="14" t="s">
        <v>88</v>
      </c>
      <c r="B2" s="14" t="n">
        <v>0</v>
      </c>
      <c r="D2" s="14" t="s">
        <v>89</v>
      </c>
      <c r="E2" s="14" t="s">
        <v>109</v>
      </c>
      <c r="F2" s="14" t="s">
        <v>110</v>
      </c>
      <c r="G2" s="14" t="s">
        <v>111</v>
      </c>
      <c r="I2" s="14" t="s">
        <v>90</v>
      </c>
      <c r="K2" s="14" t="s">
        <v>41</v>
      </c>
      <c r="M2" s="14" t="s">
        <v>109</v>
      </c>
    </row>
    <row r="3" customFormat="false" ht="15" hidden="false" customHeight="false" outlineLevel="0" collapsed="false">
      <c r="A3" s="14" t="s">
        <v>112</v>
      </c>
      <c r="B3" s="14" t="n">
        <v>1</v>
      </c>
      <c r="D3" s="14" t="s">
        <v>93</v>
      </c>
      <c r="E3" s="14" t="s">
        <v>109</v>
      </c>
      <c r="F3" s="14" t="s">
        <v>113</v>
      </c>
      <c r="G3" s="14" t="s">
        <v>114</v>
      </c>
      <c r="I3" s="14" t="s">
        <v>60</v>
      </c>
      <c r="K3" s="14" t="s">
        <v>60</v>
      </c>
      <c r="M3" s="14" t="s">
        <v>115</v>
      </c>
    </row>
    <row r="4" customFormat="false" ht="15" hidden="false" customHeight="false" outlineLevel="0" collapsed="false">
      <c r="A4" s="14" t="s">
        <v>92</v>
      </c>
      <c r="B4" s="14" t="n">
        <v>2</v>
      </c>
      <c r="D4" s="14" t="s">
        <v>97</v>
      </c>
      <c r="E4" s="14" t="s">
        <v>115</v>
      </c>
      <c r="F4" s="14" t="s">
        <v>116</v>
      </c>
      <c r="G4" s="14" t="s">
        <v>117</v>
      </c>
      <c r="I4" s="14" t="s">
        <v>38</v>
      </c>
      <c r="K4" s="14" t="s">
        <v>38</v>
      </c>
    </row>
    <row r="5" customFormat="false" ht="15" hidden="false" customHeight="false" outlineLevel="0" collapsed="false">
      <c r="A5" s="14" t="s">
        <v>96</v>
      </c>
      <c r="B5" s="14" t="n">
        <v>3</v>
      </c>
      <c r="D5" s="4"/>
      <c r="E5" s="4"/>
      <c r="F5" s="4"/>
      <c r="G5" s="4"/>
      <c r="I5" s="14" t="s">
        <v>118</v>
      </c>
      <c r="K5" s="14" t="s">
        <v>118</v>
      </c>
    </row>
    <row r="6" customFormat="false" ht="15" hidden="false" customHeight="false" outlineLevel="0" collapsed="false">
      <c r="A6" s="14" t="s">
        <v>119</v>
      </c>
      <c r="B6" s="14" t="n">
        <v>4</v>
      </c>
      <c r="D6" s="4"/>
      <c r="E6" s="4"/>
      <c r="F6" s="4"/>
      <c r="G6" s="4"/>
      <c r="I6" s="14" t="s">
        <v>120</v>
      </c>
      <c r="K6" s="14" t="s">
        <v>120</v>
      </c>
    </row>
    <row r="7" customFormat="false" ht="15" hidden="false" customHeight="false" outlineLevel="0" collapsed="false">
      <c r="A7" s="14" t="s">
        <v>121</v>
      </c>
      <c r="B7" s="14" t="n">
        <v>5</v>
      </c>
      <c r="D7" s="4"/>
      <c r="E7" s="4"/>
      <c r="F7" s="4"/>
      <c r="G7" s="4"/>
      <c r="I7" s="14" t="s">
        <v>122</v>
      </c>
    </row>
    <row r="8" customFormat="false" ht="15" hidden="false" customHeight="false" outlineLevel="0" collapsed="false">
      <c r="A8" s="14" t="s">
        <v>123</v>
      </c>
      <c r="B8" s="14" t="n">
        <v>6</v>
      </c>
      <c r="D8" s="4"/>
      <c r="E8" s="4"/>
      <c r="F8" s="4"/>
      <c r="G8" s="4"/>
    </row>
    <row r="9" customFormat="false" ht="15" hidden="false" customHeight="false" outlineLevel="0" collapsed="false">
      <c r="D9" s="4"/>
      <c r="E9" s="4"/>
      <c r="F9" s="4"/>
      <c r="G9" s="4"/>
    </row>
    <row r="10" customFormat="false" ht="15" hidden="false" customHeight="false" outlineLevel="0" collapsed="false">
      <c r="D10" s="4"/>
      <c r="E10" s="4"/>
      <c r="F10" s="4"/>
      <c r="G10" s="4"/>
    </row>
    <row r="11" customFormat="false" ht="15" hidden="false" customHeight="false" outlineLevel="0" collapsed="false">
      <c r="D11" s="4"/>
      <c r="E11" s="4"/>
      <c r="F11" s="4"/>
      <c r="G11" s="4"/>
    </row>
  </sheetData>
  <dataValidations count="2">
    <dataValidation allowBlank="true" errorStyle="stop" operator="between" showDropDown="false" showErrorMessage="false" showInputMessage="false" sqref="E5:E11" type="list">
      <formula1>Listes!$M$2:$M$3</formula1>
      <formula2>0</formula2>
    </dataValidation>
    <dataValidation allowBlank="true" errorStyle="stop" operator="between" showDropDown="false" showErrorMessage="false" showInputMessage="false" sqref="G5:G11" type="list">
      <formula1>"Auto,Studio,Relais"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2026-09-23T21:45:08Z</dcterms:created>
  <dc:creator>openpyxl</dc:creator>
  <dc:description/>
  <dc:language>en-US</dc:language>
  <cp:lastModifiedBy/>
  <dcterms:modified xsi:type="dcterms:W3CDTF">2026-09-23T21:45:09Z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